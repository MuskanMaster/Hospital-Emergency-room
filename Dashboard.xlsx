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3916e14b17834d93/Desktop/Hospital room/"/>
    </mc:Choice>
  </mc:AlternateContent>
  <xr:revisionPtr revIDLastSave="3" documentId="8_{61E63C41-C9C1-4D3C-BF95-A81198F8171C}" xr6:coauthVersionLast="47" xr6:coauthVersionMax="47" xr10:uidLastSave="{78134AE0-7EC2-4F8F-9DBA-A06C4C2B9856}"/>
  <bookViews>
    <workbookView minimized="1" xWindow="1116" yWindow="1116" windowWidth="17280" windowHeight="8880" xr2:uid="{00000000-000D-0000-FFFF-FFFF00000000}"/>
  </bookViews>
  <sheets>
    <sheet name="Dashboard" sheetId="11" r:id="rId1"/>
    <sheet name="pivot table" sheetId="12" r:id="rId2"/>
    <sheet name="patient by dept" sheetId="27" r:id="rId3"/>
    <sheet name="patient vs race" sheetId="26" r:id="rId4"/>
    <sheet name="Patient Attendence status" sheetId="25" r:id="rId5"/>
    <sheet name="Age grp vs  No. of patient " sheetId="23" r:id="rId6"/>
  </sheets>
  <definedNames>
    <definedName name="Slicer_Date__Month">#N/A</definedName>
  </definedNames>
  <calcPr calcId="181029"/>
  <pivotCaches>
    <pivotCache cacheId="15" r:id="rId7"/>
    <pivotCache cacheId="18" r:id="rId8"/>
    <pivotCache cacheId="21" r:id="rId9"/>
    <pivotCache cacheId="24" r:id="rId10"/>
    <pivotCache cacheId="27" r:id="rId11"/>
    <pivotCache cacheId="30" r:id="rId12"/>
    <pivotCache cacheId="33" r:id="rId13"/>
    <pivotCache cacheId="36" r:id="rId14"/>
    <pivotCache cacheId="39" r:id="rId15"/>
    <pivotCache cacheId="42" r:id="rId16"/>
    <pivotCache cacheId="45" r:id="rId17"/>
    <pivotCache cacheId="48"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1520240-43f9-47f6-929b-7648d1d65067" name="Hospital Emergency Room Data" connection="Query - Hospital Emergency Room Data"/>
          <x15:modelTable id="Patient Admission Date_9ccfb2f2-a78f-4404-9715-217452a528d5" name="Patient Admission Date" connection="Query - Patient Admission Date"/>
        </x15:modelTables>
        <x15:modelRelationships>
          <x15:modelRelationship fromTable="Hospital Emergency Room Data" fromColumn="Patient Admission Date" toTable="Patient Admission Date" toColumn="Date"/>
        </x15:modelRelationships>
        <x15:extLst>
          <ext xmlns:x16="http://schemas.microsoft.com/office/spreadsheetml/2014/11/main" uri="{9835A34E-60A6-4A7C-AAB8-D5F71C897F49}">
            <x16:modelTimeGroupings>
              <x16:modelTimeGrouping tableName="Patient Admission Dat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6" i="12" l="1"/>
  <c r="B26" i="12"/>
  <c r="A26" i="12"/>
  <c r="C25" i="12"/>
  <c r="B25" i="12"/>
  <c r="A2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722906d9-0a81-4fa8-b2c8-2703e206cb0b"/>
      </ext>
    </extLst>
  </connection>
  <connection id="2" xr16:uid="{00000000-0015-0000-FFFF-FFFF01000000}" name="Query - Patient Admission Date" description="Connection to the 'Patient Admission Date' query in the workbook." type="100" refreshedVersion="7" minRefreshableVersion="5">
    <extLst>
      <ext xmlns:x15="http://schemas.microsoft.com/office/spreadsheetml/2010/11/main" uri="{DE250136-89BD-433C-8126-D09CA5730AF9}">
        <x15:connection id="73bcd711-e7a0-41c6-a43d-981c82eb6e28"/>
      </ext>
    </extLst>
  </connection>
  <connection id="3" xr16:uid="{00000000-0015-0000-FFFF-FFFF0200000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<sst xmlns="http://schemas.openxmlformats.org/spreadsheetml/2006/main" count="102" uniqueCount="72">
  <si>
    <t>No. of Patient</t>
  </si>
  <si>
    <t>Average of Patient Waittime</t>
  </si>
  <si>
    <t>Average of Patient Satisfaction Score</t>
  </si>
  <si>
    <t>Count of Patient Id</t>
  </si>
  <si>
    <t>Male</t>
  </si>
  <si>
    <t>White</t>
  </si>
  <si>
    <t>None</t>
  </si>
  <si>
    <t>Admitted</t>
  </si>
  <si>
    <t>60-69</t>
  </si>
  <si>
    <t>On Time</t>
  </si>
  <si>
    <t>10-19</t>
  </si>
  <si>
    <t>Delayed</t>
  </si>
  <si>
    <t>70-79</t>
  </si>
  <si>
    <t>40-49</t>
  </si>
  <si>
    <t>50-59</t>
  </si>
  <si>
    <t xml:space="preserve">0-9 </t>
  </si>
  <si>
    <t>20-29</t>
  </si>
  <si>
    <t>30-39</t>
  </si>
  <si>
    <t>Female</t>
  </si>
  <si>
    <t>Not Admitted</t>
  </si>
  <si>
    <t>Grand Total</t>
  </si>
  <si>
    <t>Row Labels</t>
  </si>
  <si>
    <t>African American</t>
  </si>
  <si>
    <t>Two or More Races</t>
  </si>
  <si>
    <t>Asian</t>
  </si>
  <si>
    <t>Declined to Identify</t>
  </si>
  <si>
    <t>Pacific Islander</t>
  </si>
  <si>
    <t>Native American/Alaska Native</t>
  </si>
  <si>
    <t>General Practice</t>
  </si>
  <si>
    <t>Orthopedics</t>
  </si>
  <si>
    <t>Physiotherapy</t>
  </si>
  <si>
    <t>Cardiology</t>
  </si>
  <si>
    <t>Neurology</t>
  </si>
  <si>
    <t>Gastroenterology</t>
  </si>
  <si>
    <t>Renal</t>
  </si>
  <si>
    <t>Count of Patient Admission Flag</t>
  </si>
  <si>
    <t>Count of Patient Admission Flag2</t>
  </si>
  <si>
    <t>Admission Status</t>
  </si>
  <si>
    <t>% Status</t>
  </si>
  <si>
    <t>Count of Patient percentage</t>
  </si>
  <si>
    <t>% of Patient Id2</t>
  </si>
  <si>
    <t>Count of Patient Id2</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</si>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</sst>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2"/>
      <color theme="1"/>
      <name val="Cambria"/>
      <family val="1"/>
    </font>
  </fonts>
  <fills count="6">
    <fill>
      <patternFill patternType="none"/>
    </fill>
    <fill>
      <patternFill patternType="gray125"/>
    </fill>
    <fill>
      <patternFill patternType="solid">
        <fgColor theme="4" tint="0.59999389629810485"/>
        <bgColor indexed="64"/>
      </patternFill>
    </fill>
    <fill>
      <patternFill patternType="solid">
        <fgColor rgb="FF292929"/>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2" fontId="0" fillId="0" borderId="0" xfId="0" applyNumberFormat="1"/>
    <xf numFmtId="0" fontId="0" fillId="0" borderId="0" xfId="0" pivotButton="1"/>
    <xf numFmtId="0" fontId="0" fillId="3" borderId="0" xfId="0" applyFill="1"/>
    <xf numFmtId="0" fontId="0" fillId="0" borderId="0" xfId="0" applyAlignment="1">
      <alignment horizontal="left"/>
    </xf>
    <xf numFmtId="10" fontId="0" fillId="0" borderId="0" xfId="0" applyNumberFormat="1"/>
    <xf numFmtId="0" fontId="0" fillId="4" borderId="0" xfId="0" applyFill="1"/>
    <xf numFmtId="1" fontId="0" fillId="0" borderId="0" xfId="0" applyNumberFormat="1"/>
    <xf numFmtId="0" fontId="0" fillId="2" borderId="0" xfId="0" applyFill="1" applyAlignment="1">
      <alignment horizontal="center"/>
    </xf>
    <xf numFmtId="2" fontId="0" fillId="2" borderId="0" xfId="0" applyNumberFormat="1" applyFill="1" applyAlignment="1">
      <alignment horizontal="center"/>
    </xf>
    <xf numFmtId="9" fontId="0" fillId="2" borderId="0" xfId="1" applyFont="1" applyFill="1" applyAlignment="1">
      <alignment horizontal="center"/>
    </xf>
    <xf numFmtId="9" fontId="0" fillId="2" borderId="0" xfId="1" applyFont="1" applyFill="1"/>
    <xf numFmtId="0" fontId="2" fillId="5" borderId="0" xfId="0" applyFont="1" applyFill="1" applyAlignment="1">
      <alignment horizontal="center"/>
    </xf>
    <xf numFmtId="0" fontId="2" fillId="5" borderId="0" xfId="0" applyFont="1" applyFill="1"/>
  </cellXfs>
  <cellStyles count="2">
    <cellStyle name="Normal" xfId="0" builtinId="0"/>
    <cellStyle name="Percent" xfId="1" builtinId="5"/>
  </cellStyles>
  <dxfs count="62">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14" formatCode="0.00%"/>
    </dxf>
    <dxf>
      <numFmt numFmtId="2" formatCode="0.00"/>
    </dxf>
    <dxf>
      <numFmt numFmtId="1" formatCode="0"/>
    </dxf>
    <dxf>
      <numFmt numFmtId="14" formatCode="0.00%"/>
    </dxf>
    <dxf>
      <numFmt numFmtId="2" formatCode="0.00"/>
    </dxf>
    <dxf>
      <numFmt numFmtId="13" formatCode="0%"/>
    </dxf>
    <dxf>
      <numFmt numFmtId="14"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14" formatCode="0.00%"/>
    </dxf>
    <dxf>
      <numFmt numFmtId="13" formatCode="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s>
  <tableStyles count="0" defaultTableStyle="TableStyleMedium2" defaultPivotStyle="PivotStyleLight16"/>
  <colors>
    <mruColors>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4306987505117684E-2"/>
              <c:y val="7.9115266841644799E-2"/>
            </c:manualLayout>
          </c:layout>
          <c:tx>
            <c:rich>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09E555F3-E2E5-4FA1-9D81-A2C93F9D2F85}" type="CELLRANGE">
                  <a:rPr lang="en-US" sz="500"/>
                  <a:pPr>
                    <a:defRPr sz="100" b="0" i="0" u="none" strike="noStrike" kern="1200" baseline="0">
                      <a:solidFill>
                        <a:schemeClr val="tx1">
                          <a:lumMod val="75000"/>
                          <a:lumOff val="25000"/>
                        </a:schemeClr>
                      </a:solidFill>
                      <a:latin typeface="+mn-lt"/>
                      <a:ea typeface="+mn-ea"/>
                      <a:cs typeface="+mn-cs"/>
                    </a:defRPr>
                  </a:pPr>
                  <a:t>[CELLRANGE]</a:t>
                </a:fld>
                <a:r>
                  <a:rPr lang="en-US" sz="500" baseline="0"/>
                  <a:t> </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22291684950528995"/>
                  <c:h val="0.2326424726941638"/>
                </c:manualLayout>
              </c15:layout>
              <c15:dlblFieldTable/>
              <c15:showDataLabelsRange val="1"/>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064401861911679E-2"/>
              <c:y val="-3.520268299795859E-2"/>
            </c:manualLayout>
          </c:layout>
          <c:tx>
            <c:rich>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36DA4E1D-A1DC-477C-BD1A-7E7722797ADE}" type="CELLRANGE">
                  <a:rPr lang="en-US" sz="500"/>
                  <a:pPr>
                    <a:defRPr sz="1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22291684950528995"/>
                  <c:h val="0.2326424726941638"/>
                </c:manualLayout>
              </c15:layout>
              <c15:dlblFieldTable/>
              <c15:showDataLabelsRange val="1"/>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8971849831501442"/>
          <c:y val="0.12693649669845081"/>
          <c:w val="0.5750849148400029"/>
          <c:h val="0.76835215295481962"/>
        </c:manualLayout>
      </c:layout>
      <c:pieChart>
        <c:varyColors val="1"/>
        <c:dLbls>
          <c:showLegendKey val="0"/>
          <c:showVal val="0"/>
          <c:showCatName val="0"/>
          <c:showSerName val="0"/>
          <c:showPercent val="0"/>
          <c:showBubbleSize val="0"/>
          <c:showLeaderLines val="0"/>
        </c:dLbls>
        <c:firstSliceAng val="0"/>
      </c:pie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[Dashboard.xlsx]patient vs race!PivotTable16</c:name>
    <c:fmtId val="6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48000"/>
            </a:schemeClr>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tint val="83000"/>
            </a:schemeClr>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hade val="82000"/>
            </a:schemeClr>
          </a:solidFill>
          <a:ln>
            <a:noFill/>
          </a:ln>
          <a:effectLst>
            <a:outerShdw blurRad="254000" sx="102000" sy="102000" algn="ctr" rotWithShape="0">
              <a:prstClr val="black">
                <a:alpha val="20000"/>
              </a:prstClr>
            </a:outerShdw>
          </a:effectLst>
        </c:spPr>
      </c:pivotFmt>
      <c:pivotFmt>
        <c:idx val="8"/>
        <c:spPr>
          <a:solidFill>
            <a:schemeClr val="accent1">
              <a:shade val="65000"/>
            </a:schemeClr>
          </a:solidFill>
          <a:ln>
            <a:noFill/>
          </a:ln>
          <a:effectLst>
            <a:outerShdw blurRad="254000" sx="102000" sy="102000" algn="ctr" rotWithShape="0">
              <a:prstClr val="black">
                <a:alpha val="20000"/>
              </a:prstClr>
            </a:outerShdw>
          </a:effectLst>
        </c:spPr>
      </c:pivotFmt>
      <c:pivotFmt>
        <c:idx val="9"/>
        <c:spPr>
          <a:solidFill>
            <a:schemeClr val="accent1">
              <a:shade val="47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tint val="48000"/>
            </a:schemeClr>
          </a:solidFill>
          <a:ln>
            <a:noFill/>
          </a:ln>
          <a:effectLst>
            <a:outerShdw blurRad="254000" sx="102000" sy="102000" algn="ctr" rotWithShape="0">
              <a:prstClr val="black">
                <a:alpha val="20000"/>
              </a:prstClr>
            </a:outerShdw>
          </a:effectLst>
        </c:spPr>
      </c:pivotFmt>
      <c:pivotFmt>
        <c:idx val="12"/>
        <c:spPr>
          <a:solidFill>
            <a:schemeClr val="accent1">
              <a:tint val="65000"/>
            </a:schemeClr>
          </a:solidFill>
          <a:ln>
            <a:noFill/>
          </a:ln>
          <a:effectLst>
            <a:outerShdw blurRad="254000" sx="102000" sy="102000" algn="ctr" rotWithShape="0">
              <a:prstClr val="black">
                <a:alpha val="20000"/>
              </a:prstClr>
            </a:outerShdw>
          </a:effectLst>
        </c:spPr>
      </c:pivotFmt>
      <c:pivotFmt>
        <c:idx val="13"/>
        <c:spPr>
          <a:solidFill>
            <a:schemeClr val="accent1">
              <a:tint val="83000"/>
            </a:schemeClr>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hade val="82000"/>
            </a:schemeClr>
          </a:solidFill>
          <a:ln>
            <a:noFill/>
          </a:ln>
          <a:effectLst>
            <a:outerShdw blurRad="254000" sx="102000" sy="102000" algn="ctr" rotWithShape="0">
              <a:prstClr val="black">
                <a:alpha val="20000"/>
              </a:prstClr>
            </a:outerShdw>
          </a:effectLst>
        </c:spPr>
      </c:pivotFmt>
      <c:pivotFmt>
        <c:idx val="16"/>
        <c:spPr>
          <a:solidFill>
            <a:schemeClr val="accent1">
              <a:shade val="65000"/>
            </a:schemeClr>
          </a:solidFill>
          <a:ln>
            <a:noFill/>
          </a:ln>
          <a:effectLst>
            <a:outerShdw blurRad="254000" sx="102000" sy="102000" algn="ctr" rotWithShape="0">
              <a:prstClr val="black">
                <a:alpha val="20000"/>
              </a:prstClr>
            </a:outerShdw>
          </a:effectLst>
        </c:spPr>
      </c:pivotFmt>
      <c:pivotFmt>
        <c:idx val="17"/>
        <c:spPr>
          <a:solidFill>
            <a:schemeClr val="accent1">
              <a:shade val="47000"/>
            </a:schemeClr>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tint val="48000"/>
            </a:schemeClr>
          </a:solidFill>
          <a:ln>
            <a:noFill/>
          </a:ln>
          <a:effectLst>
            <a:outerShdw blurRad="254000" sx="102000" sy="102000" algn="ctr" rotWithShape="0">
              <a:prstClr val="black">
                <a:alpha val="20000"/>
              </a:prstClr>
            </a:outerShdw>
          </a:effectLst>
        </c:spPr>
      </c:pivotFmt>
      <c:pivotFmt>
        <c:idx val="20"/>
        <c:spPr>
          <a:solidFill>
            <a:schemeClr val="accent1">
              <a:tint val="65000"/>
            </a:schemeClr>
          </a:solidFill>
          <a:ln>
            <a:noFill/>
          </a:ln>
          <a:effectLst>
            <a:outerShdw blurRad="254000" sx="102000" sy="102000" algn="ctr" rotWithShape="0">
              <a:prstClr val="black">
                <a:alpha val="20000"/>
              </a:prstClr>
            </a:outerShdw>
          </a:effectLst>
        </c:spPr>
      </c:pivotFmt>
      <c:pivotFmt>
        <c:idx val="21"/>
        <c:spPr>
          <a:solidFill>
            <a:schemeClr val="accent1">
              <a:tint val="83000"/>
            </a:schemeClr>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hade val="82000"/>
            </a:schemeClr>
          </a:solidFill>
          <a:ln>
            <a:noFill/>
          </a:ln>
          <a:effectLst>
            <a:outerShdw blurRad="254000" sx="102000" sy="102000" algn="ctr" rotWithShape="0">
              <a:prstClr val="black">
                <a:alpha val="20000"/>
              </a:prstClr>
            </a:outerShdw>
          </a:effectLst>
        </c:spPr>
      </c:pivotFmt>
      <c:pivotFmt>
        <c:idx val="24"/>
        <c:spPr>
          <a:solidFill>
            <a:schemeClr val="accent1">
              <a:shade val="65000"/>
            </a:schemeClr>
          </a:solidFill>
          <a:ln>
            <a:noFill/>
          </a:ln>
          <a:effectLst>
            <a:outerShdw blurRad="254000" sx="102000" sy="102000" algn="ctr" rotWithShape="0">
              <a:prstClr val="black">
                <a:alpha val="20000"/>
              </a:prstClr>
            </a:outerShdw>
          </a:effectLst>
        </c:spPr>
      </c:pivotFmt>
      <c:pivotFmt>
        <c:idx val="25"/>
        <c:spPr>
          <a:solidFill>
            <a:schemeClr val="accent1">
              <a:shade val="47000"/>
            </a:schemeClr>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tint val="48000"/>
            </a:schemeClr>
          </a:solidFill>
          <a:ln>
            <a:noFill/>
          </a:ln>
          <a:effectLst>
            <a:outerShdw blurRad="254000" sx="102000" sy="102000" algn="ctr" rotWithShape="0">
              <a:prstClr val="black">
                <a:alpha val="20000"/>
              </a:prstClr>
            </a:outerShdw>
          </a:effectLst>
        </c:spPr>
      </c:pivotFmt>
      <c:pivotFmt>
        <c:idx val="28"/>
        <c:spPr>
          <a:solidFill>
            <a:schemeClr val="accent1">
              <a:tint val="65000"/>
            </a:schemeClr>
          </a:solidFill>
          <a:ln>
            <a:noFill/>
          </a:ln>
          <a:effectLst>
            <a:outerShdw blurRad="254000" sx="102000" sy="102000" algn="ctr" rotWithShape="0">
              <a:prstClr val="black">
                <a:alpha val="20000"/>
              </a:prstClr>
            </a:outerShdw>
          </a:effectLst>
        </c:spPr>
      </c:pivotFmt>
      <c:pivotFmt>
        <c:idx val="29"/>
        <c:spPr>
          <a:solidFill>
            <a:schemeClr val="accent1">
              <a:tint val="83000"/>
            </a:schemeClr>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hade val="82000"/>
            </a:schemeClr>
          </a:solidFill>
          <a:ln>
            <a:noFill/>
          </a:ln>
          <a:effectLst>
            <a:outerShdw blurRad="254000" sx="102000" sy="102000" algn="ctr" rotWithShape="0">
              <a:prstClr val="black">
                <a:alpha val="20000"/>
              </a:prstClr>
            </a:outerShdw>
          </a:effectLst>
        </c:spPr>
      </c:pivotFmt>
      <c:pivotFmt>
        <c:idx val="32"/>
        <c:spPr>
          <a:solidFill>
            <a:schemeClr val="accent1">
              <a:shade val="65000"/>
            </a:schemeClr>
          </a:solidFill>
          <a:ln>
            <a:noFill/>
          </a:ln>
          <a:effectLst>
            <a:outerShdw blurRad="254000" sx="102000" sy="102000" algn="ctr" rotWithShape="0">
              <a:prstClr val="black">
                <a:alpha val="20000"/>
              </a:prstClr>
            </a:outerShdw>
          </a:effectLst>
        </c:spPr>
      </c:pivotFmt>
      <c:pivotFmt>
        <c:idx val="33"/>
        <c:spPr>
          <a:solidFill>
            <a:schemeClr val="accent1">
              <a:shade val="47000"/>
            </a:schemeClr>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tint val="48000"/>
            </a:schemeClr>
          </a:solidFill>
          <a:ln>
            <a:noFill/>
          </a:ln>
          <a:effectLst>
            <a:outerShdw blurRad="254000" sx="102000" sy="102000" algn="ctr" rotWithShape="0">
              <a:prstClr val="black">
                <a:alpha val="20000"/>
              </a:prstClr>
            </a:outerShdw>
          </a:effectLst>
        </c:spPr>
      </c:pivotFmt>
      <c:pivotFmt>
        <c:idx val="36"/>
        <c:spPr>
          <a:solidFill>
            <a:schemeClr val="accent1">
              <a:tint val="65000"/>
            </a:schemeClr>
          </a:solidFill>
          <a:ln>
            <a:noFill/>
          </a:ln>
          <a:effectLst>
            <a:outerShdw blurRad="254000" sx="102000" sy="102000" algn="ctr" rotWithShape="0">
              <a:prstClr val="black">
                <a:alpha val="20000"/>
              </a:prstClr>
            </a:outerShdw>
          </a:effectLst>
        </c:spPr>
      </c:pivotFmt>
      <c:pivotFmt>
        <c:idx val="37"/>
        <c:spPr>
          <a:solidFill>
            <a:schemeClr val="accent1">
              <a:tint val="83000"/>
            </a:schemeClr>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hade val="82000"/>
            </a:schemeClr>
          </a:solidFill>
          <a:ln>
            <a:noFill/>
          </a:ln>
          <a:effectLst>
            <a:outerShdw blurRad="254000" sx="102000" sy="102000" algn="ctr" rotWithShape="0">
              <a:prstClr val="black">
                <a:alpha val="20000"/>
              </a:prstClr>
            </a:outerShdw>
          </a:effectLst>
        </c:spPr>
      </c:pivotFmt>
      <c:pivotFmt>
        <c:idx val="40"/>
        <c:spPr>
          <a:solidFill>
            <a:schemeClr val="accent1">
              <a:shade val="65000"/>
            </a:schemeClr>
          </a:solidFill>
          <a:ln>
            <a:noFill/>
          </a:ln>
          <a:effectLst>
            <a:outerShdw blurRad="254000" sx="102000" sy="102000" algn="ctr" rotWithShape="0">
              <a:prstClr val="black">
                <a:alpha val="20000"/>
              </a:prstClr>
            </a:outerShdw>
          </a:effectLst>
        </c:spPr>
      </c:pivotFmt>
      <c:pivotFmt>
        <c:idx val="41"/>
        <c:spPr>
          <a:solidFill>
            <a:schemeClr val="accent1">
              <a:shade val="47000"/>
            </a:schemeClr>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tint val="48000"/>
            </a:schemeClr>
          </a:solidFill>
          <a:ln>
            <a:noFill/>
          </a:ln>
          <a:effectLst>
            <a:outerShdw blurRad="254000" sx="102000" sy="102000" algn="ctr" rotWithShape="0">
              <a:prstClr val="black">
                <a:alpha val="20000"/>
              </a:prstClr>
            </a:outerShdw>
          </a:effectLst>
        </c:spPr>
      </c:pivotFmt>
      <c:pivotFmt>
        <c:idx val="44"/>
        <c:spPr>
          <a:solidFill>
            <a:schemeClr val="accent1">
              <a:tint val="65000"/>
            </a:schemeClr>
          </a:solidFill>
          <a:ln>
            <a:noFill/>
          </a:ln>
          <a:effectLst>
            <a:outerShdw blurRad="254000" sx="102000" sy="102000" algn="ctr" rotWithShape="0">
              <a:prstClr val="black">
                <a:alpha val="20000"/>
              </a:prstClr>
            </a:outerShdw>
          </a:effectLst>
        </c:spPr>
      </c:pivotFmt>
      <c:pivotFmt>
        <c:idx val="45"/>
        <c:spPr>
          <a:solidFill>
            <a:schemeClr val="accent1">
              <a:tint val="83000"/>
            </a:schemeClr>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hade val="82000"/>
            </a:schemeClr>
          </a:solidFill>
          <a:ln>
            <a:noFill/>
          </a:ln>
          <a:effectLst>
            <a:outerShdw blurRad="254000" sx="102000" sy="102000" algn="ctr" rotWithShape="0">
              <a:prstClr val="black">
                <a:alpha val="20000"/>
              </a:prstClr>
            </a:outerShdw>
          </a:effectLst>
        </c:spPr>
      </c:pivotFmt>
      <c:pivotFmt>
        <c:idx val="48"/>
        <c:spPr>
          <a:solidFill>
            <a:schemeClr val="accent1">
              <a:shade val="65000"/>
            </a:schemeClr>
          </a:solidFill>
          <a:ln>
            <a:noFill/>
          </a:ln>
          <a:effectLst>
            <a:outerShdw blurRad="254000" sx="102000" sy="102000" algn="ctr" rotWithShape="0">
              <a:prstClr val="black">
                <a:alpha val="20000"/>
              </a:prstClr>
            </a:outerShdw>
          </a:effectLst>
        </c:spPr>
      </c:pivotFmt>
      <c:pivotFmt>
        <c:idx val="49"/>
        <c:spPr>
          <a:solidFill>
            <a:schemeClr val="accent1">
              <a:shade val="47000"/>
            </a:schemeClr>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tint val="48000"/>
            </a:schemeClr>
          </a:solidFill>
          <a:ln>
            <a:noFill/>
          </a:ln>
          <a:effectLst>
            <a:outerShdw blurRad="254000" sx="102000" sy="102000" algn="ctr" rotWithShape="0">
              <a:prstClr val="black">
                <a:alpha val="20000"/>
              </a:prstClr>
            </a:outerShdw>
          </a:effectLst>
        </c:spPr>
      </c:pivotFmt>
      <c:pivotFmt>
        <c:idx val="52"/>
        <c:spPr>
          <a:solidFill>
            <a:schemeClr val="accent1">
              <a:tint val="65000"/>
            </a:schemeClr>
          </a:solidFill>
          <a:ln>
            <a:noFill/>
          </a:ln>
          <a:effectLst>
            <a:outerShdw blurRad="254000" sx="102000" sy="102000" algn="ctr" rotWithShape="0">
              <a:prstClr val="black">
                <a:alpha val="20000"/>
              </a:prstClr>
            </a:outerShdw>
          </a:effectLst>
        </c:spPr>
      </c:pivotFmt>
      <c:pivotFmt>
        <c:idx val="53"/>
        <c:spPr>
          <a:solidFill>
            <a:schemeClr val="accent1">
              <a:tint val="83000"/>
            </a:schemeClr>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hade val="82000"/>
            </a:schemeClr>
          </a:solidFill>
          <a:ln>
            <a:noFill/>
          </a:ln>
          <a:effectLst>
            <a:outerShdw blurRad="254000" sx="102000" sy="102000" algn="ctr" rotWithShape="0">
              <a:prstClr val="black">
                <a:alpha val="20000"/>
              </a:prstClr>
            </a:outerShdw>
          </a:effectLst>
        </c:spPr>
      </c:pivotFmt>
      <c:pivotFmt>
        <c:idx val="56"/>
        <c:spPr>
          <a:solidFill>
            <a:schemeClr val="accent1">
              <a:shade val="65000"/>
            </a:schemeClr>
          </a:solidFill>
          <a:ln>
            <a:noFill/>
          </a:ln>
          <a:effectLst>
            <a:outerShdw blurRad="254000" sx="102000" sy="102000" algn="ctr" rotWithShape="0">
              <a:prstClr val="black">
                <a:alpha val="20000"/>
              </a:prstClr>
            </a:outerShdw>
          </a:effectLst>
        </c:spPr>
      </c:pivotFmt>
      <c:pivotFmt>
        <c:idx val="57"/>
        <c:spPr>
          <a:solidFill>
            <a:schemeClr val="accent1">
              <a:shade val="47000"/>
            </a:schemeClr>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tint val="48000"/>
            </a:schemeClr>
          </a:solidFill>
          <a:ln>
            <a:noFill/>
          </a:ln>
          <a:effectLst>
            <a:outerShdw blurRad="254000" sx="102000" sy="102000" algn="ctr" rotWithShape="0">
              <a:prstClr val="black">
                <a:alpha val="20000"/>
              </a:prstClr>
            </a:outerShdw>
          </a:effectLst>
        </c:spPr>
      </c:pivotFmt>
      <c:pivotFmt>
        <c:idx val="60"/>
        <c:spPr>
          <a:solidFill>
            <a:schemeClr val="accent1">
              <a:tint val="65000"/>
            </a:schemeClr>
          </a:solidFill>
          <a:ln>
            <a:noFill/>
          </a:ln>
          <a:effectLst>
            <a:outerShdw blurRad="254000" sx="102000" sy="102000" algn="ctr" rotWithShape="0">
              <a:prstClr val="black">
                <a:alpha val="20000"/>
              </a:prstClr>
            </a:outerShdw>
          </a:effectLst>
        </c:spPr>
      </c:pivotFmt>
      <c:pivotFmt>
        <c:idx val="61"/>
        <c:spPr>
          <a:solidFill>
            <a:schemeClr val="accent1">
              <a:tint val="83000"/>
            </a:schemeClr>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hade val="82000"/>
            </a:schemeClr>
          </a:solidFill>
          <a:ln>
            <a:noFill/>
          </a:ln>
          <a:effectLst>
            <a:outerShdw blurRad="254000" sx="102000" sy="102000" algn="ctr" rotWithShape="0">
              <a:prstClr val="black">
                <a:alpha val="20000"/>
              </a:prstClr>
            </a:outerShdw>
          </a:effectLst>
        </c:spPr>
      </c:pivotFmt>
      <c:pivotFmt>
        <c:idx val="64"/>
        <c:spPr>
          <a:solidFill>
            <a:schemeClr val="accent1">
              <a:shade val="65000"/>
            </a:schemeClr>
          </a:solidFill>
          <a:ln>
            <a:noFill/>
          </a:ln>
          <a:effectLst>
            <a:outerShdw blurRad="254000" sx="102000" sy="102000" algn="ctr" rotWithShape="0">
              <a:prstClr val="black">
                <a:alpha val="20000"/>
              </a:prstClr>
            </a:outerShdw>
          </a:effectLst>
        </c:spPr>
      </c:pivotFmt>
      <c:pivotFmt>
        <c:idx val="65"/>
        <c:spPr>
          <a:solidFill>
            <a:schemeClr val="accent1">
              <a:shade val="4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347919352472636"/>
          <c:y val="0.11921194190760569"/>
          <c:w val="0.40637398852278744"/>
          <c:h val="0.66885238946710368"/>
        </c:manualLayout>
      </c:layout>
      <c:pieChart>
        <c:varyColors val="1"/>
        <c:ser>
          <c:idx val="0"/>
          <c:order val="0"/>
          <c:tx>
            <c:strRef>
              <c:f>'patient vs race'!$B$2</c:f>
              <c:strCache>
                <c:ptCount val="1"/>
                <c:pt idx="0">
                  <c:v>Count of Patient Id</c:v>
                </c:pt>
              </c:strCache>
            </c:strRef>
          </c:tx>
          <c:dPt>
            <c:idx val="0"/>
            <c:bubble3D val="0"/>
            <c:spPr>
              <a:solidFill>
                <a:schemeClr val="accent1">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53-48EC-94E6-64A73459CEC6}"/>
              </c:ext>
            </c:extLst>
          </c:dPt>
          <c:dPt>
            <c:idx val="1"/>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53-48EC-94E6-64A73459CEC6}"/>
              </c:ext>
            </c:extLst>
          </c:dPt>
          <c:dPt>
            <c:idx val="2"/>
            <c:bubble3D val="0"/>
            <c:spPr>
              <a:solidFill>
                <a:schemeClr val="accent1">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53-48EC-94E6-64A73459CEC6}"/>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B53-48EC-94E6-64A73459CEC6}"/>
              </c:ext>
            </c:extLst>
          </c:dPt>
          <c:dPt>
            <c:idx val="4"/>
            <c:bubble3D val="0"/>
            <c:spPr>
              <a:solidFill>
                <a:schemeClr val="accent1">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B53-48EC-94E6-64A73459CEC6}"/>
              </c:ext>
            </c:extLst>
          </c:dPt>
          <c:dPt>
            <c:idx val="5"/>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B53-48EC-94E6-64A73459CEC6}"/>
              </c:ext>
            </c:extLst>
          </c:dPt>
          <c:dPt>
            <c:idx val="6"/>
            <c:bubble3D val="0"/>
            <c:spPr>
              <a:solidFill>
                <a:schemeClr val="accent1">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B53-48EC-94E6-64A73459CEC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vs race'!$A$3:$A$10</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'patient vs race'!$B$3:$B$10</c:f>
              <c:numCache>
                <c:formatCode>0.00</c:formatCode>
                <c:ptCount val="7"/>
                <c:pt idx="0">
                  <c:v>117</c:v>
                </c:pt>
                <c:pt idx="1">
                  <c:v>58</c:v>
                </c:pt>
                <c:pt idx="2">
                  <c:v>50</c:v>
                </c:pt>
                <c:pt idx="3">
                  <c:v>24</c:v>
                </c:pt>
                <c:pt idx="4">
                  <c:v>29</c:v>
                </c:pt>
                <c:pt idx="5">
                  <c:v>58</c:v>
                </c:pt>
                <c:pt idx="6">
                  <c:v>128</c:v>
                </c:pt>
              </c:numCache>
            </c:numRef>
          </c:val>
          <c:extLst>
            <c:ext xmlns:c16="http://schemas.microsoft.com/office/drawing/2014/chart" uri="{C3380CC4-5D6E-409C-BE32-E72D297353CC}">
              <c16:uniqueId val="{0000000E-7B53-48EC-94E6-64A73459CEC6}"/>
            </c:ext>
          </c:extLst>
        </c:ser>
        <c:ser>
          <c:idx val="1"/>
          <c:order val="1"/>
          <c:tx>
            <c:strRef>
              <c:f>'patient vs race'!$C$2</c:f>
              <c:strCache>
                <c:ptCount val="1"/>
                <c:pt idx="0">
                  <c:v>Count of Patient percentage</c:v>
                </c:pt>
              </c:strCache>
            </c:strRef>
          </c:tx>
          <c:dPt>
            <c:idx val="0"/>
            <c:bubble3D val="0"/>
            <c:spPr>
              <a:solidFill>
                <a:schemeClr val="accent1">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B53-48EC-94E6-64A73459CEC6}"/>
              </c:ext>
            </c:extLst>
          </c:dPt>
          <c:dPt>
            <c:idx val="1"/>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B53-48EC-94E6-64A73459CEC6}"/>
              </c:ext>
            </c:extLst>
          </c:dPt>
          <c:dPt>
            <c:idx val="2"/>
            <c:bubble3D val="0"/>
            <c:spPr>
              <a:solidFill>
                <a:schemeClr val="accent1">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B53-48EC-94E6-64A73459CEC6}"/>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7B53-48EC-94E6-64A73459CEC6}"/>
              </c:ext>
            </c:extLst>
          </c:dPt>
          <c:dPt>
            <c:idx val="4"/>
            <c:bubble3D val="0"/>
            <c:spPr>
              <a:solidFill>
                <a:schemeClr val="accent1">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7B53-48EC-94E6-64A73459CEC6}"/>
              </c:ext>
            </c:extLst>
          </c:dPt>
          <c:dPt>
            <c:idx val="5"/>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7B53-48EC-94E6-64A73459CEC6}"/>
              </c:ext>
            </c:extLst>
          </c:dPt>
          <c:dPt>
            <c:idx val="6"/>
            <c:bubble3D val="0"/>
            <c:spPr>
              <a:solidFill>
                <a:schemeClr val="accent1">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7B53-48EC-94E6-64A73459CEC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vs race'!$A$3:$A$10</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'patient vs race'!$C$3:$C$10</c:f>
              <c:numCache>
                <c:formatCode>0.00%</c:formatCode>
                <c:ptCount val="7"/>
                <c:pt idx="0">
                  <c:v>0.25215517241379309</c:v>
                </c:pt>
                <c:pt idx="1">
                  <c:v>0.125</c:v>
                </c:pt>
                <c:pt idx="2">
                  <c:v>0.10775862068965517</c:v>
                </c:pt>
                <c:pt idx="3">
                  <c:v>5.1724137931034482E-2</c:v>
                </c:pt>
                <c:pt idx="4">
                  <c:v>6.25E-2</c:v>
                </c:pt>
                <c:pt idx="5">
                  <c:v>0.125</c:v>
                </c:pt>
                <c:pt idx="6">
                  <c:v>0.27586206896551724</c:v>
                </c:pt>
              </c:numCache>
            </c:numRef>
          </c:val>
          <c:extLst>
            <c:ext xmlns:c16="http://schemas.microsoft.com/office/drawing/2014/chart" uri="{C3380CC4-5D6E-409C-BE32-E72D297353CC}">
              <c16:uniqueId val="{0000001D-7B53-48EC-94E6-64A73459CEC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73564884081215"/>
          <c:y val="8.774439645975296E-2"/>
          <c:w val="0.28264351159187856"/>
          <c:h val="0.8488677811881288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400" b="1" i="0" u="none" strike="noStrike" kern="1200" baseline="0">
              <a:solidFill>
                <a:schemeClr val="dk1">
                  <a:lumMod val="75000"/>
                  <a:lumOff val="25000"/>
                </a:schemeClr>
              </a:solidFill>
              <a:latin typeface="Cambria" panose="02040503050406030204" pitchFamily="18" charset="0"/>
              <a:ea typeface="Cambria" panose="02040503050406030204" pitchFamily="18"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72086743490124E-2"/>
          <c:y val="0.30829296786743593"/>
          <c:w val="0.89019685039370078"/>
          <c:h val="0.68708608356868783"/>
        </c:manualLayout>
      </c:layout>
      <c:barChart>
        <c:barDir val="col"/>
        <c:grouping val="clustered"/>
        <c:varyColors val="0"/>
        <c:ser>
          <c:idx val="0"/>
          <c:order val="0"/>
          <c:tx>
            <c:v>Series1</c:v>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delete val="1"/>
          </c:dLbls>
          <c:cat>
            <c:numLit>
              <c:formatCode>General</c:formatCode>
              <c:ptCount val="8"/>
              <c:pt idx="0">
                <c:v>1</c:v>
              </c:pt>
              <c:pt idx="1">
                <c:v>2</c:v>
              </c:pt>
              <c:pt idx="2">
                <c:v>3</c:v>
              </c:pt>
              <c:pt idx="3">
                <c:v>4</c:v>
              </c:pt>
              <c:pt idx="4">
                <c:v>5</c:v>
              </c:pt>
              <c:pt idx="5">
                <c:v>6</c:v>
              </c:pt>
              <c:pt idx="6">
                <c:v>7</c:v>
              </c:pt>
              <c:pt idx="7">
                <c:v>8</c:v>
              </c:pt>
            </c:numLit>
          </c:cat>
          <c:val>
            <c:numLit>
              <c:formatCode>General</c:formatCode>
              <c:ptCount val="8"/>
              <c:pt idx="0">
                <c:v>0</c:v>
              </c:pt>
              <c:pt idx="1">
                <c:v>0</c:v>
              </c:pt>
              <c:pt idx="2">
                <c:v>0</c:v>
              </c:pt>
              <c:pt idx="3">
                <c:v>0</c:v>
              </c:pt>
              <c:pt idx="4">
                <c:v>0</c:v>
              </c:pt>
              <c:pt idx="5">
                <c:v>0</c:v>
              </c:pt>
              <c:pt idx="6">
                <c:v>0</c:v>
              </c:pt>
              <c:pt idx="7">
                <c:v>0</c:v>
              </c:pt>
            </c:numLit>
          </c:val>
          <c:extLst>
            <c:ext xmlns:c16="http://schemas.microsoft.com/office/drawing/2014/chart" uri="{C3380CC4-5D6E-409C-BE32-E72D297353CC}">
              <c16:uniqueId val="{00000000-D246-4177-9E9E-6C250E8D6E35}"/>
            </c:ext>
          </c:extLst>
        </c:ser>
        <c:dLbls>
          <c:dLblPos val="outEnd"/>
          <c:showLegendKey val="0"/>
          <c:showVal val="1"/>
          <c:showCatName val="0"/>
          <c:showSerName val="0"/>
          <c:showPercent val="0"/>
          <c:showBubbleSize val="0"/>
        </c:dLbls>
        <c:gapWidth val="164"/>
        <c:overlap val="-22"/>
        <c:axId val="895936256"/>
        <c:axId val="895935424"/>
      </c:barChart>
      <c:catAx>
        <c:axId val="895936256"/>
        <c:scaling>
          <c:orientation val="minMax"/>
        </c:scaling>
        <c:delete val="1"/>
        <c:axPos val="b"/>
        <c:numFmt formatCode="General" sourceLinked="1"/>
        <c:majorTickMark val="none"/>
        <c:minorTickMark val="none"/>
        <c:tickLblPos val="nextTo"/>
        <c:crossAx val="895935424"/>
        <c:crosses val="autoZero"/>
        <c:auto val="1"/>
        <c:lblAlgn val="ctr"/>
        <c:lblOffset val="100"/>
        <c:noMultiLvlLbl val="0"/>
      </c:catAx>
      <c:valAx>
        <c:axId val="895935424"/>
        <c:scaling>
          <c:orientation val="minMax"/>
        </c:scaling>
        <c:delete val="1"/>
        <c:axPos val="l"/>
        <c:numFmt formatCode="General" sourceLinked="1"/>
        <c:majorTickMark val="none"/>
        <c:minorTickMark val="none"/>
        <c:tickLblPos val="nextTo"/>
        <c:crossAx val="89593625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35809445652496574"/>
          <c:y val="9.4940558511451653E-2"/>
          <c:w val="0.52959464684484214"/>
          <c:h val="0.74799092322047622"/>
        </c:manualLayout>
      </c:layout>
      <c:barChart>
        <c:barDir val="bar"/>
        <c:grouping val="clustered"/>
        <c:varyColors val="0"/>
        <c:dLbls>
          <c:showLegendKey val="0"/>
          <c:showVal val="0"/>
          <c:showCatName val="0"/>
          <c:showSerName val="0"/>
          <c:showPercent val="0"/>
          <c:showBubbleSize val="0"/>
        </c:dLbls>
        <c:gapWidth val="219"/>
        <c:axId val="946131824"/>
        <c:axId val="946133488"/>
      </c:barChart>
      <c:catAx>
        <c:axId val="946131824"/>
        <c:scaling>
          <c:orientation val="minMax"/>
        </c:scaling>
        <c:delete val="1"/>
        <c:axPos val="l"/>
        <c:numFmt formatCode="General" sourceLinked="1"/>
        <c:majorTickMark val="none"/>
        <c:minorTickMark val="none"/>
        <c:tickLblPos val="nextTo"/>
        <c:crossAx val="946133488"/>
        <c:crosses val="autoZero"/>
        <c:auto val="1"/>
        <c:lblAlgn val="ctr"/>
        <c:lblOffset val="100"/>
        <c:noMultiLvlLbl val="0"/>
      </c:catAx>
      <c:valAx>
        <c:axId val="946133488"/>
        <c:scaling>
          <c:orientation val="minMax"/>
        </c:scaling>
        <c:delete val="1"/>
        <c:axPos val="b"/>
        <c:numFmt formatCode="General" sourceLinked="1"/>
        <c:majorTickMark val="none"/>
        <c:minorTickMark val="none"/>
        <c:tickLblPos val="nextTo"/>
        <c:crossAx val="9461318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95857526730781E-2"/>
          <c:y val="0.11881498860972863"/>
          <c:w val="0.89019685039370078"/>
          <c:h val="0.72088764946048411"/>
        </c:manualLayout>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0-9 </c:v>
              </c:pt>
              <c:pt idx="1">
                <c:v>10-19</c:v>
              </c:pt>
              <c:pt idx="2">
                <c:v>20-29</c:v>
              </c:pt>
              <c:pt idx="3">
                <c:v>30-39</c:v>
              </c:pt>
              <c:pt idx="4">
                <c:v>40-49</c:v>
              </c:pt>
              <c:pt idx="5">
                <c:v>50-59</c:v>
              </c:pt>
              <c:pt idx="6">
                <c:v>60-69</c:v>
              </c:pt>
              <c:pt idx="7">
                <c:v>70-79</c:v>
              </c:pt>
            </c:strLit>
          </c:cat>
          <c:val>
            <c:numLit>
              <c:formatCode>General</c:formatCode>
              <c:ptCount val="8"/>
              <c:pt idx="0">
                <c:v>129</c:v>
              </c:pt>
              <c:pt idx="1">
                <c:v>115</c:v>
              </c:pt>
              <c:pt idx="2">
                <c:v>131</c:v>
              </c:pt>
              <c:pt idx="3">
                <c:v>110</c:v>
              </c:pt>
              <c:pt idx="4">
                <c:v>130</c:v>
              </c:pt>
              <c:pt idx="5">
                <c:v>118</c:v>
              </c:pt>
              <c:pt idx="6">
                <c:v>109</c:v>
              </c:pt>
              <c:pt idx="7">
                <c:v>122</c:v>
              </c:pt>
            </c:numLit>
          </c:val>
          <c:extLst>
            <c:ext xmlns:c16="http://schemas.microsoft.com/office/drawing/2014/chart" uri="{C3380CC4-5D6E-409C-BE32-E72D297353CC}">
              <c16:uniqueId val="{00000000-6AC7-4480-ADEA-6AC7CBBD7382}"/>
            </c:ext>
          </c:extLst>
        </c:ser>
        <c:dLbls>
          <c:dLblPos val="outEnd"/>
          <c:showLegendKey val="0"/>
          <c:showVal val="1"/>
          <c:showCatName val="0"/>
          <c:showSerName val="0"/>
          <c:showPercent val="0"/>
          <c:showBubbleSize val="0"/>
        </c:dLbls>
        <c:gapWidth val="164"/>
        <c:overlap val="-22"/>
        <c:axId val="895936256"/>
        <c:axId val="895935424"/>
      </c:barChart>
      <c:catAx>
        <c:axId val="8959362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95935424"/>
        <c:crosses val="autoZero"/>
        <c:auto val="1"/>
        <c:lblAlgn val="ctr"/>
        <c:lblOffset val="100"/>
        <c:noMultiLvlLbl val="0"/>
      </c:catAx>
      <c:valAx>
        <c:axId val="895935424"/>
        <c:scaling>
          <c:orientation val="minMax"/>
        </c:scaling>
        <c:delete val="1"/>
        <c:axPos val="l"/>
        <c:numFmt formatCode="General" sourceLinked="1"/>
        <c:majorTickMark val="none"/>
        <c:minorTickMark val="none"/>
        <c:tickLblPos val="nextTo"/>
        <c:crossAx val="89593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[Dashboard.xlsx]patient by dept!PivotTable22</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by dept'!$C$4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by dept'!$B$5:$B$13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'patient by dept'!$C$5:$C$13</c:f>
              <c:numCache>
                <c:formatCode>0.00</c:formatCode>
                <c:ptCount val="8"/>
                <c:pt idx="0">
                  <c:v>13</c:v>
                </c:pt>
                <c:pt idx="1">
                  <c:v>14</c:v>
                </c:pt>
                <c:pt idx="2">
                  <c:v>91</c:v>
                </c:pt>
                <c:pt idx="3">
                  <c:v>6</c:v>
                </c:pt>
                <c:pt idx="4">
                  <c:v>252</c:v>
                </c:pt>
                <c:pt idx="5">
                  <c:v>67</c:v>
                </c:pt>
                <c:pt idx="6">
                  <c:v>19</c:v>
                </c:pt>
                <c:pt idx="7">
                  <c:v>2</c:v>
                </c:pt>
              </c:numCache>
            </c:numRef>
          </c:val>
          <c:extLst>
            <c:ext xmlns:c16="http://schemas.microsoft.com/office/drawing/2014/chart" uri="{C3380CC4-5D6E-409C-BE32-E72D297353CC}">
              <c16:uniqueId val="{00000000-2733-4650-810E-4C49568C9F62}"/>
            </c:ext>
          </c:extLst>
        </c:ser>
        <c:dLbls>
          <c:showLegendKey val="0"/>
          <c:showVal val="0"/>
          <c:showCatName val="0"/>
          <c:showSerName val="0"/>
          <c:showPercent val="0"/>
          <c:showBubbleSize val="0"/>
        </c:dLbls>
        <c:gapWidth val="182"/>
        <c:axId val="1545588320"/>
        <c:axId val="1545586240"/>
      </c:barChart>
      <c:catAx>
        <c:axId val="154558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45586240"/>
        <c:crosses val="autoZero"/>
        <c:auto val="1"/>
        <c:lblAlgn val="ctr"/>
        <c:lblOffset val="100"/>
        <c:noMultiLvlLbl val="0"/>
      </c:catAx>
      <c:valAx>
        <c:axId val="1545586240"/>
        <c:scaling>
          <c:orientation val="minMax"/>
        </c:scaling>
        <c:delete val="1"/>
        <c:axPos val="b"/>
        <c:numFmt formatCode="0.00" sourceLinked="1"/>
        <c:majorTickMark val="none"/>
        <c:minorTickMark val="none"/>
        <c:tickLblPos val="nextTo"/>
        <c:crossAx val="154558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table!PivotTable15</c:name>
    <c:fmtId val="7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9A130D-EA5E-4F27-9F91-8E9A6264DFA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ABC725-F586-45DA-B939-D0EDB683168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ABC725-F586-45DA-B939-D0EDB683168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9A130D-EA5E-4F27-9F91-8E9A6264DFA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w="19050">
            <a:solidFill>
              <a:schemeClr val="lt1"/>
            </a:solidFill>
          </a:ln>
          <a:effectLst/>
        </c:spPr>
        <c:dLbl>
          <c:idx val="0"/>
          <c:layout>
            <c:manualLayout>
              <c:x val="4.5575240594925633E-2"/>
              <c:y val="-0.3223492063024613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ABC725-F586-45DA-B939-D0EDB6831682}"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w="19050">
            <a:solidFill>
              <a:schemeClr val="lt1"/>
            </a:solidFill>
          </a:ln>
          <a:effectLst/>
        </c:spPr>
        <c:dLbl>
          <c:idx val="0"/>
          <c:layout>
            <c:manualLayout>
              <c:x val="7.7777777777777732E-3"/>
              <c:y val="0.3155272579758117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9A130D-EA5E-4F27-9F91-8E9A6264DFA8}"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table'!$M$35:$M$36</c:f>
              <c:strCache>
                <c:ptCount val="1"/>
                <c:pt idx="0">
                  <c:v>Count of Patient Id</c:v>
                </c:pt>
              </c:strCache>
            </c:strRef>
          </c:tx>
          <c:explosion val="2"/>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055F-4AE7-B331-D88D1FB0148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055F-4AE7-B331-D88D1FB0148F}"/>
              </c:ext>
            </c:extLst>
          </c:dPt>
          <c:dLbls>
            <c:dLbl>
              <c:idx val="0"/>
              <c:layout>
                <c:manualLayout>
                  <c:x val="4.5575240594925633E-2"/>
                  <c:y val="-0.32234920630246133"/>
                </c:manualLayout>
              </c:layout>
              <c:tx>
                <c:rich>
                  <a:bodyPr/>
                  <a:lstStyle/>
                  <a:p>
                    <a:fld id="{FEABC725-F586-45DA-B939-D0EDB6831682}"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55F-4AE7-B331-D88D1FB0148F}"/>
                </c:ext>
              </c:extLst>
            </c:dLbl>
            <c:dLbl>
              <c:idx val="1"/>
              <c:layout>
                <c:manualLayout>
                  <c:x val="7.7777777777777732E-3"/>
                  <c:y val="0.31552725797581177"/>
                </c:manualLayout>
              </c:layout>
              <c:tx>
                <c:rich>
                  <a:bodyPr/>
                  <a:lstStyle/>
                  <a:p>
                    <a:fld id="{F19A130D-EA5E-4F27-9F91-8E9A6264DFA8}"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5F-4AE7-B331-D88D1FB014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 table'!$M$35:$M$36</c:f>
              <c:strCache>
                <c:ptCount val="2"/>
                <c:pt idx="0">
                  <c:v>Female</c:v>
                </c:pt>
                <c:pt idx="1">
                  <c:v>Male</c:v>
                </c:pt>
              </c:strCache>
            </c:strRef>
          </c:cat>
          <c:val>
            <c:numRef>
              <c:f>'pivot table'!$M$35:$M$36</c:f>
              <c:numCache>
                <c:formatCode>0.00</c:formatCode>
                <c:ptCount val="2"/>
                <c:pt idx="0">
                  <c:v>227</c:v>
                </c:pt>
                <c:pt idx="1">
                  <c:v>237</c:v>
                </c:pt>
              </c:numCache>
            </c:numRef>
          </c:val>
          <c:extLst>
            <c:ext xmlns:c15="http://schemas.microsoft.com/office/drawing/2012/chart" uri="{02D57815-91ED-43cb-92C2-25804820EDAC}">
              <c15:datalabelsRange>
                <c15:f>'pivot table'!$M$35:$M$36</c15:f>
                <c15:dlblRangeCache>
                  <c:ptCount val="2"/>
                  <c:pt idx="0">
                    <c:v>48.92%</c:v>
                  </c:pt>
                  <c:pt idx="1">
                    <c:v>51.08%</c:v>
                  </c:pt>
                </c15:dlblRangeCache>
              </c15:datalabelsRange>
            </c:ext>
            <c:ext xmlns:c16="http://schemas.microsoft.com/office/drawing/2014/chart" uri="{C3380CC4-5D6E-409C-BE32-E72D297353CC}">
              <c16:uniqueId val="{00000004-055F-4AE7-B331-D88D1FB0148F}"/>
            </c:ext>
          </c:extLst>
        </c:ser>
        <c:ser>
          <c:idx val="1"/>
          <c:order val="1"/>
          <c:tx>
            <c:strRef>
              <c:f>'pivot table'!$M$35:$M$36</c:f>
              <c:strCache>
                <c:ptCount val="1"/>
                <c:pt idx="0">
                  <c:v>Count of Patient percentage</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6-055F-4AE7-B331-D88D1FB0148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8-055F-4AE7-B331-D88D1FB0148F}"/>
              </c:ext>
            </c:extLst>
          </c:dPt>
          <c:cat>
            <c:strRef>
              <c:f>'pivot table'!$M$35:$M$36</c:f>
              <c:strCache>
                <c:ptCount val="2"/>
                <c:pt idx="0">
                  <c:v>Female</c:v>
                </c:pt>
                <c:pt idx="1">
                  <c:v>Male</c:v>
                </c:pt>
              </c:strCache>
            </c:strRef>
          </c:cat>
          <c:val>
            <c:numRef>
              <c:f>'pivot table'!$M$35:$M$36</c:f>
              <c:numCache>
                <c:formatCode>0.00%</c:formatCode>
                <c:ptCount val="2"/>
                <c:pt idx="0">
                  <c:v>0.48922413793103448</c:v>
                </c:pt>
                <c:pt idx="1">
                  <c:v>0.51077586206896552</c:v>
                </c:pt>
              </c:numCache>
            </c:numRef>
          </c:val>
          <c:extLst>
            <c:ext xmlns:c16="http://schemas.microsoft.com/office/drawing/2014/chart" uri="{C3380CC4-5D6E-409C-BE32-E72D297353CC}">
              <c16:uniqueId val="{00000009-055F-4AE7-B331-D88D1FB014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25204143356409342"/>
          <c:y val="0.18057387197877356"/>
          <c:w val="0.46388888888888891"/>
          <c:h val="0.77314814814814814"/>
        </c:manualLayout>
      </c:layout>
      <c:pieChart>
        <c:varyColors val="1"/>
        <c:ser>
          <c:idx val="0"/>
          <c:order val="0"/>
          <c:tx>
            <c:v>Series1</c:v>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1-6B7A-4CCC-B615-38AE45D21224}"/>
              </c:ext>
            </c:extLst>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3-6B7A-4CCC-B615-38AE45D21224}"/>
              </c:ext>
            </c:extLst>
          </c:dPt>
          <c:dLbls>
            <c:dLbl>
              <c:idx val="0"/>
              <c:layout>
                <c:manualLayout>
                  <c:x val="-3.5140748031496062E-2"/>
                  <c:y val="7.9115266841644799E-2"/>
                </c:manualLayout>
              </c:layout>
              <c:tx>
                <c:rich>
                  <a:bodyPr/>
                  <a:lstStyle/>
                  <a:p>
                    <a:fld id="{09E555F3-E2E5-4FA1-9D81-A2C93F9D2F85}"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B7A-4CCC-B615-38AE45D21224}"/>
                </c:ext>
              </c:extLst>
            </c:dLbl>
            <c:dLbl>
              <c:idx val="1"/>
              <c:layout>
                <c:manualLayout>
                  <c:x val="1.9810258092738408E-2"/>
                  <c:y val="-3.520268299795859E-2"/>
                </c:manualLayout>
              </c:layout>
              <c:tx>
                <c:rich>
                  <a:bodyPr/>
                  <a:lstStyle/>
                  <a:p>
                    <a:fld id="{36DA4E1D-A1DC-477C-BD1A-7E7722797ADE}"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B7A-4CCC-B615-38AE45D21224}"/>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howDataLabelsRange val="1"/>
              </c:ext>
            </c:extLst>
          </c:dLbls>
          <c:cat>
            <c:strLit>
              <c:ptCount val="2"/>
              <c:pt idx="0">
                <c:v>Delayed</c:v>
              </c:pt>
              <c:pt idx="1">
                <c:v>On Time</c:v>
              </c:pt>
            </c:strLit>
          </c:cat>
          <c:val>
            <c:numLit>
              <c:formatCode>General</c:formatCode>
              <c:ptCount val="2"/>
              <c:pt idx="0">
                <c:v>543</c:v>
              </c:pt>
              <c:pt idx="1">
                <c:v>421</c:v>
              </c:pt>
            </c:numLit>
          </c:val>
          <c:extLst>
            <c:ext xmlns:c15="http://schemas.microsoft.com/office/drawing/2012/chart" uri="{02D57815-91ED-43cb-92C2-25804820EDAC}">
              <c15:datalabelsRange>
                <c15:f>'pivot table'!$S$50:$S$51</c15:f>
                <c15:dlblRangeCache>
                  <c:ptCount val="2"/>
                  <c:pt idx="0">
                    <c:v>57.54%</c:v>
                  </c:pt>
                  <c:pt idx="1">
                    <c:v>42.46%</c:v>
                  </c:pt>
                </c15:dlblRangeCache>
              </c15:datalabelsRange>
            </c:ext>
            <c:ext xmlns:c16="http://schemas.microsoft.com/office/drawing/2014/chart" uri="{C3380CC4-5D6E-409C-BE32-E72D297353CC}">
              <c16:uniqueId val="{00000004-6B7A-4CCC-B615-38AE45D21224}"/>
            </c:ext>
          </c:extLst>
        </c:ser>
        <c:ser>
          <c:idx val="1"/>
          <c:order val="1"/>
          <c:tx>
            <c:v>Series2</c:v>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6-6B7A-4CCC-B615-38AE45D21224}"/>
              </c:ext>
            </c:extLst>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8-6B7A-4CCC-B615-38AE45D21224}"/>
              </c:ext>
            </c:extLst>
          </c:dPt>
          <c:cat>
            <c:strLit>
              <c:ptCount val="2"/>
              <c:pt idx="0">
                <c:v>Delayed</c:v>
              </c:pt>
              <c:pt idx="1">
                <c:v>On Time</c:v>
              </c:pt>
            </c:strLit>
          </c:cat>
          <c:val>
            <c:numLit>
              <c:formatCode>General</c:formatCode>
              <c:ptCount val="2"/>
              <c:pt idx="0">
                <c:v>0.56327800829875518</c:v>
              </c:pt>
              <c:pt idx="1">
                <c:v>0.43672199170124482</c:v>
              </c:pt>
            </c:numLit>
          </c:val>
          <c:extLst>
            <c:ext xmlns:c16="http://schemas.microsoft.com/office/drawing/2014/chart" uri="{C3380CC4-5D6E-409C-BE32-E72D297353CC}">
              <c16:uniqueId val="{00000009-6B7A-4CCC-B615-38AE45D2122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198618050558927"/>
          <c:y val="0.10488991952574968"/>
          <c:w val="0.26959604039462065"/>
          <c:h val="0.4654918586572021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538945F4-7C53-449A-977A-9733CB131D78}" type="CELLRANGE">
                  <a:rPr lang="en-US"/>
                  <a:pPr>
                    <a:defRPr sz="5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hade val="76000"/>
            </a:schemeClr>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7085B738-45C9-47EC-A728-17F00C82AA2F}" type="CELLRANGE">
                  <a:rPr lang="en-GB"/>
                  <a:pPr>
                    <a:defRPr sz="5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6036634661173683E-2"/>
          <c:y val="1.6483237890718209E-2"/>
          <c:w val="0.75437685914260721"/>
          <c:h val="0.68916936853481547"/>
        </c:manualLayout>
      </c:layout>
      <c:barChart>
        <c:barDir val="bar"/>
        <c:grouping val="clustered"/>
        <c:varyColors val="0"/>
        <c:ser>
          <c:idx val="0"/>
          <c:order val="0"/>
          <c:tx>
            <c:strRef>
              <c:f>'pivot table'!$C$18:$C$19</c:f>
              <c:strCache>
                <c:ptCount val="1"/>
                <c:pt idx="0">
                  <c:v>Count of Patient Admission Flag</c:v>
                </c:pt>
              </c:strCache>
            </c:strRef>
          </c:tx>
          <c:spPr>
            <a:solidFill>
              <a:schemeClr val="accent1">
                <a:shade val="76000"/>
              </a:schemeClr>
            </a:solidFill>
            <a:ln>
              <a:noFill/>
            </a:ln>
            <a:effectLst/>
          </c:spPr>
          <c:invertIfNegative val="0"/>
          <c:dPt>
            <c:idx val="0"/>
            <c:invertIfNegative val="0"/>
            <c:bubble3D val="0"/>
            <c:extLst>
              <c:ext xmlns:c16="http://schemas.microsoft.com/office/drawing/2014/chart" uri="{C3380CC4-5D6E-409C-BE32-E72D297353CC}">
                <c16:uniqueId val="{00000003-4E49-42FC-9ED5-11E09F6933EA}"/>
              </c:ext>
            </c:extLst>
          </c:dPt>
          <c:dPt>
            <c:idx val="1"/>
            <c:invertIfNegative val="0"/>
            <c:bubble3D val="0"/>
            <c:extLst>
              <c:ext xmlns:c16="http://schemas.microsoft.com/office/drawing/2014/chart" uri="{C3380CC4-5D6E-409C-BE32-E72D297353CC}">
                <c16:uniqueId val="{00000004-4E49-42FC-9ED5-11E09F6933EA}"/>
              </c:ext>
            </c:extLst>
          </c:dPt>
          <c:dLbls>
            <c:dLbl>
              <c:idx val="0"/>
              <c:tx>
                <c:rich>
                  <a:bodyPr/>
                  <a:lstStyle/>
                  <a:p>
                    <a:fld id="{538945F4-7C53-449A-977A-9733CB131D7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E49-42FC-9ED5-11E09F6933EA}"/>
                </c:ext>
              </c:extLst>
            </c:dLbl>
            <c:dLbl>
              <c:idx val="1"/>
              <c:tx>
                <c:rich>
                  <a:bodyPr/>
                  <a:lstStyle/>
                  <a:p>
                    <a:fld id="{7085B738-45C9-47EC-A728-17F00C82AA2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E49-42FC-9ED5-11E09F6933EA}"/>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table'!$C$18:$C$19</c:f>
              <c:strCache>
                <c:ptCount val="2"/>
                <c:pt idx="0">
                  <c:v>Admitted</c:v>
                </c:pt>
                <c:pt idx="1">
                  <c:v>Not Admitted</c:v>
                </c:pt>
              </c:strCache>
            </c:strRef>
          </c:cat>
          <c:val>
            <c:numRef>
              <c:f>'pivot table'!$C$18:$C$19</c:f>
              <c:numCache>
                <c:formatCode>0.00</c:formatCode>
                <c:ptCount val="2"/>
                <c:pt idx="0">
                  <c:v>231</c:v>
                </c:pt>
                <c:pt idx="1">
                  <c:v>233</c:v>
                </c:pt>
              </c:numCache>
            </c:numRef>
          </c:val>
          <c:extLst>
            <c:ext xmlns:c15="http://schemas.microsoft.com/office/drawing/2012/chart" uri="{02D57815-91ED-43cb-92C2-25804820EDAC}">
              <c15:datalabelsRange>
                <c15:f>'pivot table'!$C$18:$C$19</c15:f>
                <c15:dlblRangeCache>
                  <c:ptCount val="2"/>
                  <c:pt idx="0">
                    <c:v>49.78%</c:v>
                  </c:pt>
                  <c:pt idx="1">
                    <c:v>50.22%</c:v>
                  </c:pt>
                </c15:dlblRangeCache>
              </c15:datalabelsRange>
            </c:ext>
            <c:ext xmlns:c16="http://schemas.microsoft.com/office/drawing/2014/chart" uri="{C3380CC4-5D6E-409C-BE32-E72D297353CC}">
              <c16:uniqueId val="{00000000-4E49-42FC-9ED5-11E09F6933EA}"/>
            </c:ext>
          </c:extLst>
        </c:ser>
        <c:ser>
          <c:idx val="1"/>
          <c:order val="1"/>
          <c:tx>
            <c:strRef>
              <c:f>'pivot table'!$C$18:$C$19</c:f>
              <c:strCache>
                <c:ptCount val="1"/>
                <c:pt idx="0">
                  <c:v>Count of Patient Admission Flag2</c:v>
                </c:pt>
              </c:strCache>
            </c:strRef>
          </c:tx>
          <c:spPr>
            <a:solidFill>
              <a:schemeClr val="accent1">
                <a:tint val="77000"/>
              </a:schemeClr>
            </a:solidFill>
            <a:ln>
              <a:noFill/>
            </a:ln>
            <a:effectLst/>
          </c:spPr>
          <c:invertIfNegative val="0"/>
          <c:cat>
            <c:strRef>
              <c:f>'pivot table'!$C$18:$C$19</c:f>
              <c:strCache>
                <c:ptCount val="2"/>
                <c:pt idx="0">
                  <c:v>Admitted</c:v>
                </c:pt>
                <c:pt idx="1">
                  <c:v>Not Admitted</c:v>
                </c:pt>
              </c:strCache>
            </c:strRef>
          </c:cat>
          <c:val>
            <c:numRef>
              <c:f>'pivot table'!$C$18:$C$19</c:f>
              <c:numCache>
                <c:formatCode>0.00%</c:formatCode>
                <c:ptCount val="2"/>
                <c:pt idx="0">
                  <c:v>0.49784482758620691</c:v>
                </c:pt>
                <c:pt idx="1">
                  <c:v>0.50215517241379315</c:v>
                </c:pt>
              </c:numCache>
            </c:numRef>
          </c:val>
          <c:extLst>
            <c:ext xmlns:c16="http://schemas.microsoft.com/office/drawing/2014/chart" uri="{C3380CC4-5D6E-409C-BE32-E72D297353CC}">
              <c16:uniqueId val="{00000001-4E49-42FC-9ED5-11E09F6933EA}"/>
            </c:ext>
          </c:extLst>
        </c:ser>
        <c:dLbls>
          <c:showLegendKey val="0"/>
          <c:showVal val="0"/>
          <c:showCatName val="0"/>
          <c:showSerName val="0"/>
          <c:showPercent val="0"/>
          <c:showBubbleSize val="0"/>
        </c:dLbls>
        <c:gapWidth val="38"/>
        <c:axId val="1303982464"/>
        <c:axId val="1303979136"/>
      </c:barChart>
      <c:catAx>
        <c:axId val="1303982464"/>
        <c:scaling>
          <c:orientation val="minMax"/>
        </c:scaling>
        <c:delete val="1"/>
        <c:axPos val="l"/>
        <c:numFmt formatCode="General" sourceLinked="1"/>
        <c:majorTickMark val="none"/>
        <c:minorTickMark val="none"/>
        <c:tickLblPos val="nextTo"/>
        <c:crossAx val="1303979136"/>
        <c:crosses val="autoZero"/>
        <c:auto val="1"/>
        <c:lblAlgn val="ctr"/>
        <c:lblOffset val="100"/>
        <c:noMultiLvlLbl val="0"/>
      </c:catAx>
      <c:valAx>
        <c:axId val="1303979136"/>
        <c:scaling>
          <c:orientation val="minMax"/>
        </c:scaling>
        <c:delete val="1"/>
        <c:axPos val="b"/>
        <c:numFmt formatCode="0.00" sourceLinked="1"/>
        <c:majorTickMark val="none"/>
        <c:minorTickMark val="none"/>
        <c:tickLblPos val="nextTo"/>
        <c:crossAx val="130398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pPr>
            <a:solidFill>
              <a:schemeClr val="dk1">
                <a:tint val="88500"/>
              </a:schemeClr>
            </a:solidFill>
            <a:ln w="9525">
              <a:solidFill>
                <a:schemeClr val="lt1"/>
              </a:solidFill>
            </a:ln>
            <a:effectLst/>
          </c:spPr>
        </c:marker>
        <c:dLbl>
          <c:idx val="0"/>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31148381452318458"/>
          <c:y val="9.9537037037037035E-2"/>
          <c:w val="0.46388888888888891"/>
          <c:h val="0.77314814814814814"/>
        </c:manualLayout>
      </c:layout>
      <c:pieChart>
        <c:varyColors val="1"/>
        <c:ser>
          <c:idx val="0"/>
          <c:order val="0"/>
          <c:tx>
            <c:v>Series1</c:v>
          </c:tx>
          <c:dPt>
            <c:idx val="0"/>
            <c:bubble3D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extLst>
              <c:ext xmlns:c16="http://schemas.microsoft.com/office/drawing/2014/chart" uri="{C3380CC4-5D6E-409C-BE32-E72D297353CC}">
                <c16:uniqueId val="{00000004-E581-4319-93AA-4B27463FE2BD}"/>
              </c:ext>
            </c:extLst>
          </c:dPt>
          <c:dPt>
            <c:idx val="1"/>
            <c:bubble3D val="0"/>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extLst>
              <c:ext xmlns:c16="http://schemas.microsoft.com/office/drawing/2014/chart" uri="{C3380CC4-5D6E-409C-BE32-E72D297353CC}">
                <c16:uniqueId val="{00000003-E581-4319-93AA-4B27463FE2BD}"/>
              </c:ext>
            </c:extLst>
          </c:dPt>
          <c:dLbls>
            <c:dLbl>
              <c:idx val="0"/>
              <c:layout>
                <c:manualLayout>
                  <c:x val="-3.5140748031496062E-2"/>
                  <c:y val="7.9115266841644799E-2"/>
                </c:manualLayout>
              </c:layout>
              <c:tx>
                <c:rich>
                  <a:bodyPr/>
                  <a:lstStyle/>
                  <a:p>
                    <a:fld id="{09E555F3-E2E5-4FA1-9D81-A2C93F9D2F85}"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581-4319-93AA-4B27463FE2BD}"/>
                </c:ext>
              </c:extLst>
            </c:dLbl>
            <c:dLbl>
              <c:idx val="1"/>
              <c:layout>
                <c:manualLayout>
                  <c:x val="1.9810258092738408E-2"/>
                  <c:y val="-3.520268299795859E-2"/>
                </c:manualLayout>
              </c:layout>
              <c:tx>
                <c:rich>
                  <a:bodyPr/>
                  <a:lstStyle/>
                  <a:p>
                    <a:fld id="{36DA4E1D-A1DC-477C-BD1A-7E7722797ADE}"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581-4319-93AA-4B27463FE2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howDataLabelsRange val="1"/>
              </c:ext>
            </c:extLst>
          </c:dLbls>
          <c:cat>
            <c:numLit>
              <c:formatCode>General</c:formatCode>
              <c:ptCount val="2"/>
              <c:pt idx="0">
                <c:v>0</c:v>
              </c:pt>
              <c:pt idx="1">
                <c:v>0</c:v>
              </c:pt>
            </c:numLit>
          </c:cat>
          <c:val>
            <c:numLit>
              <c:formatCode>General</c:formatCode>
              <c:ptCount val="2"/>
              <c:pt idx="0">
                <c:v>0</c:v>
              </c:pt>
              <c:pt idx="1">
                <c:v>0</c:v>
              </c:pt>
            </c:numLit>
          </c:val>
          <c:extLst>
            <c:ext xmlns:c15="http://schemas.microsoft.com/office/drawing/2012/chart" uri="{02D57815-91ED-43cb-92C2-25804820EDAC}">
              <c15:datalabelsRange>
                <c15:f>'pivot table'!$M$30:$M$31</c15:f>
                <c15:dlblRangeCache>
                  <c:ptCount val="2"/>
                </c15:dlblRangeCache>
              </c15:datalabelsRange>
            </c:ext>
            <c:ext xmlns:c16="http://schemas.microsoft.com/office/drawing/2014/chart" uri="{C3380CC4-5D6E-409C-BE32-E72D297353CC}">
              <c16:uniqueId val="{00000000-E581-4319-93AA-4B27463FE2BD}"/>
            </c:ext>
          </c:extLst>
        </c:ser>
        <c:ser>
          <c:idx val="1"/>
          <c:order val="1"/>
          <c:tx>
            <c:v>Series2</c:v>
          </c:tx>
          <c:dPt>
            <c:idx val="0"/>
            <c:bubble3D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extLst>
              <c:ext xmlns:c16="http://schemas.microsoft.com/office/drawing/2014/chart" uri="{C3380CC4-5D6E-409C-BE32-E72D297353CC}">
                <c16:uniqueId val="{00000005-17EF-4E98-8F85-B83BD148BE1F}"/>
              </c:ext>
            </c:extLst>
          </c:dPt>
          <c:dPt>
            <c:idx val="1"/>
            <c:bubble3D val="0"/>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extLst>
              <c:ext xmlns:c16="http://schemas.microsoft.com/office/drawing/2014/chart" uri="{C3380CC4-5D6E-409C-BE32-E72D297353CC}">
                <c16:uniqueId val="{00000007-17EF-4E98-8F85-B83BD148BE1F}"/>
              </c:ext>
            </c:extLst>
          </c:dPt>
          <c:cat>
            <c:numLit>
              <c:formatCode>General</c:formatCode>
              <c:ptCount val="2"/>
              <c:pt idx="0">
                <c:v>0</c:v>
              </c:pt>
              <c:pt idx="1">
                <c:v>0</c:v>
              </c:pt>
            </c:numLit>
          </c:cat>
          <c:val>
            <c:numLit>
              <c:formatCode>General</c:formatCode>
              <c:ptCount val="2"/>
              <c:pt idx="0">
                <c:v>0</c:v>
              </c:pt>
              <c:pt idx="1">
                <c:v>0</c:v>
              </c:pt>
            </c:numLit>
          </c:val>
          <c:extLst>
            <c:ext xmlns:c16="http://schemas.microsoft.com/office/drawing/2014/chart" uri="{C3380CC4-5D6E-409C-BE32-E72D297353CC}">
              <c16:uniqueId val="{00000002-E581-4319-93AA-4B27463FE2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[Dashboard.xlsx]pivot table!PivotTable15</c:name>
    <c:fmtId val="55"/>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9A130D-EA5E-4F27-9F91-8E9A6264DFA8}"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dk1">
              <a:tint val="885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ABC725-F586-45DA-B939-D0EDB6831682}"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s>
    <c:plotArea>
      <c:layout/>
      <c:pieChart>
        <c:varyColors val="1"/>
        <c:ser>
          <c:idx val="0"/>
          <c:order val="0"/>
          <c:tx>
            <c:strRef>
              <c:f>'pivot table'!$M$35:$M$36</c:f>
              <c:strCache>
                <c:ptCount val="1"/>
                <c:pt idx="0">
                  <c:v>Count of Patient Id</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4-C501-4C34-95D4-D9B75C60CDAF}"/>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C501-4C34-95D4-D9B75C60CDAF}"/>
              </c:ext>
            </c:extLst>
          </c:dPt>
          <c:dLbls>
            <c:dLbl>
              <c:idx val="0"/>
              <c:tx>
                <c:rich>
                  <a:bodyPr/>
                  <a:lstStyle/>
                  <a:p>
                    <a:fld id="{FEABC725-F586-45DA-B939-D0EDB6831682}"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501-4C34-95D4-D9B75C60CDAF}"/>
                </c:ext>
              </c:extLst>
            </c:dLbl>
            <c:dLbl>
              <c:idx val="1"/>
              <c:tx>
                <c:rich>
                  <a:bodyPr/>
                  <a:lstStyle/>
                  <a:p>
                    <a:fld id="{F19A130D-EA5E-4F27-9F91-8E9A6264DFA8}"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501-4C34-95D4-D9B75C60CD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 table'!$M$35:$M$36</c:f>
              <c:strCache>
                <c:ptCount val="2"/>
                <c:pt idx="0">
                  <c:v>Female</c:v>
                </c:pt>
                <c:pt idx="1">
                  <c:v>Male</c:v>
                </c:pt>
              </c:strCache>
            </c:strRef>
          </c:cat>
          <c:val>
            <c:numRef>
              <c:f>'pivot table'!$M$35:$M$36</c:f>
              <c:numCache>
                <c:formatCode>0.00</c:formatCode>
                <c:ptCount val="2"/>
                <c:pt idx="0">
                  <c:v>227</c:v>
                </c:pt>
                <c:pt idx="1">
                  <c:v>237</c:v>
                </c:pt>
              </c:numCache>
            </c:numRef>
          </c:val>
          <c:extLst>
            <c:ext xmlns:c15="http://schemas.microsoft.com/office/drawing/2012/chart" uri="{02D57815-91ED-43cb-92C2-25804820EDAC}">
              <c15:datalabelsRange>
                <c15:f>'pivot table'!$M$35:$M$36</c15:f>
                <c15:dlblRangeCache>
                  <c:ptCount val="2"/>
                  <c:pt idx="0">
                    <c:v>48.92%</c:v>
                  </c:pt>
                  <c:pt idx="1">
                    <c:v>51.08%</c:v>
                  </c:pt>
                </c15:dlblRangeCache>
              </c15:datalabelsRange>
            </c:ext>
            <c:ext xmlns:c16="http://schemas.microsoft.com/office/drawing/2014/chart" uri="{C3380CC4-5D6E-409C-BE32-E72D297353CC}">
              <c16:uniqueId val="{00000000-C501-4C34-95D4-D9B75C60CDAF}"/>
            </c:ext>
          </c:extLst>
        </c:ser>
        <c:ser>
          <c:idx val="1"/>
          <c:order val="1"/>
          <c:tx>
            <c:strRef>
              <c:f>'pivot table'!$M$35:$M$36</c:f>
              <c:strCache>
                <c:ptCount val="1"/>
                <c:pt idx="0">
                  <c:v>Count of Patient percentage</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5-661A-431D-B41F-38D411317BD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7-661A-431D-B41F-38D411317BDE}"/>
              </c:ext>
            </c:extLst>
          </c:dPt>
          <c:cat>
            <c:strRef>
              <c:f>'pivot table'!$M$35:$M$36</c:f>
              <c:strCache>
                <c:ptCount val="2"/>
                <c:pt idx="0">
                  <c:v>Female</c:v>
                </c:pt>
                <c:pt idx="1">
                  <c:v>Male</c:v>
                </c:pt>
              </c:strCache>
            </c:strRef>
          </c:cat>
          <c:val>
            <c:numRef>
              <c:f>'pivot table'!$M$35:$M$36</c:f>
              <c:numCache>
                <c:formatCode>0.00%</c:formatCode>
                <c:ptCount val="2"/>
                <c:pt idx="0">
                  <c:v>0.48922413793103448</c:v>
                </c:pt>
                <c:pt idx="1">
                  <c:v>0.51077586206896552</c:v>
                </c:pt>
              </c:numCache>
            </c:numRef>
          </c:val>
          <c:extLst>
            <c:ext xmlns:c16="http://schemas.microsoft.com/office/drawing/2014/chart" uri="{C3380CC4-5D6E-409C-BE32-E72D297353CC}">
              <c16:uniqueId val="{00000001-C501-4C34-95D4-D9B75C60CD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219"/>
        <c:axId val="946131824"/>
        <c:axId val="946133488"/>
      </c:barChart>
      <c:catAx>
        <c:axId val="946131824"/>
        <c:scaling>
          <c:orientation val="minMax"/>
        </c:scaling>
        <c:delete val="1"/>
        <c:axPos val="l"/>
        <c:numFmt formatCode="General" sourceLinked="1"/>
        <c:majorTickMark val="none"/>
        <c:minorTickMark val="none"/>
        <c:tickLblPos val="nextTo"/>
        <c:crossAx val="946133488"/>
        <c:crosses val="autoZero"/>
        <c:auto val="1"/>
        <c:lblAlgn val="ctr"/>
        <c:lblOffset val="100"/>
        <c:noMultiLvlLbl val="0"/>
      </c:catAx>
      <c:valAx>
        <c:axId val="94613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318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6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 table'!$L$34</c:f>
              <c:strCache>
                <c:ptCount val="1"/>
                <c:pt idx="0">
                  <c:v>Count of Patient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C-4755-9D1C-9C867B429174}"/>
              </c:ext>
            </c:extLst>
          </c:dPt>
          <c:cat>
            <c:strRef>
              <c:f>'pivot table'!$K$35:$K$37</c:f>
              <c:strCache>
                <c:ptCount val="2"/>
                <c:pt idx="0">
                  <c:v>Female</c:v>
                </c:pt>
                <c:pt idx="1">
                  <c:v>Male</c:v>
                </c:pt>
              </c:strCache>
            </c:strRef>
          </c:cat>
          <c:val>
            <c:numRef>
              <c:f>'pivot table'!$L$35:$L$37</c:f>
              <c:numCache>
                <c:formatCode>0.00</c:formatCode>
                <c:ptCount val="2"/>
                <c:pt idx="0">
                  <c:v>227</c:v>
                </c:pt>
                <c:pt idx="1">
                  <c:v>237</c:v>
                </c:pt>
              </c:numCache>
            </c:numRef>
          </c:val>
          <c:extLst>
            <c:ext xmlns:c16="http://schemas.microsoft.com/office/drawing/2014/chart" uri="{C3380CC4-5D6E-409C-BE32-E72D297353CC}">
              <c16:uniqueId val="{00000000-77F7-4539-B8AD-26E09F0C20E8}"/>
            </c:ext>
          </c:extLst>
        </c:ser>
        <c:ser>
          <c:idx val="1"/>
          <c:order val="1"/>
          <c:tx>
            <c:strRef>
              <c:f>'pivot table'!$M$34</c:f>
              <c:strCache>
                <c:ptCount val="1"/>
                <c:pt idx="0">
                  <c:v>Count of Patient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EC-4755-9D1C-9C867B429174}"/>
              </c:ext>
            </c:extLst>
          </c:dPt>
          <c:cat>
            <c:strRef>
              <c:f>'pivot table'!$K$35:$K$37</c:f>
              <c:strCache>
                <c:ptCount val="2"/>
                <c:pt idx="0">
                  <c:v>Female</c:v>
                </c:pt>
                <c:pt idx="1">
                  <c:v>Male</c:v>
                </c:pt>
              </c:strCache>
            </c:strRef>
          </c:cat>
          <c:val>
            <c:numRef>
              <c:f>'pivot table'!$M$35:$M$37</c:f>
              <c:numCache>
                <c:formatCode>0.00%</c:formatCode>
                <c:ptCount val="2"/>
                <c:pt idx="0">
                  <c:v>0.48922413793103448</c:v>
                </c:pt>
                <c:pt idx="1">
                  <c:v>0.51077586206896552</c:v>
                </c:pt>
              </c:numCache>
            </c:numRef>
          </c:val>
          <c:extLst>
            <c:ext xmlns:c16="http://schemas.microsoft.com/office/drawing/2014/chart" uri="{C3380CC4-5D6E-409C-BE32-E72D297353CC}">
              <c16:uniqueId val="{00000001-77F7-4539-B8AD-26E09F0C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6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 table'!$L$34</c:f>
              <c:strCache>
                <c:ptCount val="1"/>
                <c:pt idx="0">
                  <c:v>Count of Patient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C-4755-9D1C-9C867B429174}"/>
              </c:ext>
            </c:extLst>
          </c:dPt>
          <c:cat>
            <c:strRef>
              <c:f>'pivot table'!$K$35:$K$37</c:f>
              <c:strCache>
                <c:ptCount val="2"/>
                <c:pt idx="0">
                  <c:v>Female</c:v>
                </c:pt>
                <c:pt idx="1">
                  <c:v>Male</c:v>
                </c:pt>
              </c:strCache>
            </c:strRef>
          </c:cat>
          <c:val>
            <c:numRef>
              <c:f>'pivot table'!$L$35:$L$37</c:f>
              <c:numCache>
                <c:formatCode>0.00</c:formatCode>
                <c:ptCount val="2"/>
                <c:pt idx="0">
                  <c:v>227</c:v>
                </c:pt>
                <c:pt idx="1">
                  <c:v>237</c:v>
                </c:pt>
              </c:numCache>
            </c:numRef>
          </c:val>
          <c:extLst>
            <c:ext xmlns:c16="http://schemas.microsoft.com/office/drawing/2014/chart" uri="{C3380CC4-5D6E-409C-BE32-E72D297353CC}">
              <c16:uniqueId val="{00000000-77F7-4539-B8AD-26E09F0C20E8}"/>
            </c:ext>
          </c:extLst>
        </c:ser>
        <c:ser>
          <c:idx val="1"/>
          <c:order val="1"/>
          <c:tx>
            <c:strRef>
              <c:f>'pivot table'!$M$34</c:f>
              <c:strCache>
                <c:ptCount val="1"/>
                <c:pt idx="0">
                  <c:v>Count of Patient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EC-4755-9D1C-9C867B429174}"/>
              </c:ext>
            </c:extLst>
          </c:dPt>
          <c:cat>
            <c:strRef>
              <c:f>'pivot table'!$K$35:$K$37</c:f>
              <c:strCache>
                <c:ptCount val="2"/>
                <c:pt idx="0">
                  <c:v>Female</c:v>
                </c:pt>
                <c:pt idx="1">
                  <c:v>Male</c:v>
                </c:pt>
              </c:strCache>
            </c:strRef>
          </c:cat>
          <c:val>
            <c:numRef>
              <c:f>'pivot table'!$M$35:$M$37</c:f>
              <c:numCache>
                <c:formatCode>0.00%</c:formatCode>
                <c:ptCount val="2"/>
                <c:pt idx="0">
                  <c:v>0.48922413793103448</c:v>
                </c:pt>
                <c:pt idx="1">
                  <c:v>0.51077586206896552</c:v>
                </c:pt>
              </c:numCache>
            </c:numRef>
          </c:val>
          <c:extLst>
            <c:ext xmlns:c16="http://schemas.microsoft.com/office/drawing/2014/chart" uri="{C3380CC4-5D6E-409C-BE32-E72D297353CC}">
              <c16:uniqueId val="{00000001-77F7-4539-B8AD-26E09F0C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6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s>
    <c:plotArea>
      <c:layout/>
      <c:pieChart>
        <c:varyColors val="1"/>
        <c:ser>
          <c:idx val="0"/>
          <c:order val="0"/>
          <c:tx>
            <c:strRef>
              <c:f>'pivot table'!$L$34</c:f>
              <c:strCache>
                <c:ptCount val="1"/>
                <c:pt idx="0">
                  <c:v>Count of Patient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C-4755-9D1C-9C867B429174}"/>
              </c:ext>
            </c:extLst>
          </c:dPt>
          <c:cat>
            <c:strRef>
              <c:f>'pivot table'!$K$35:$K$37</c:f>
              <c:strCache>
                <c:ptCount val="2"/>
                <c:pt idx="0">
                  <c:v>Female</c:v>
                </c:pt>
                <c:pt idx="1">
                  <c:v>Male</c:v>
                </c:pt>
              </c:strCache>
            </c:strRef>
          </c:cat>
          <c:val>
            <c:numRef>
              <c:f>'pivot table'!$L$35:$L$37</c:f>
              <c:numCache>
                <c:formatCode>0.00</c:formatCode>
                <c:ptCount val="2"/>
                <c:pt idx="0">
                  <c:v>227</c:v>
                </c:pt>
                <c:pt idx="1">
                  <c:v>237</c:v>
                </c:pt>
              </c:numCache>
            </c:numRef>
          </c:val>
          <c:extLst>
            <c:ext xmlns:c16="http://schemas.microsoft.com/office/drawing/2014/chart" uri="{C3380CC4-5D6E-409C-BE32-E72D297353CC}">
              <c16:uniqueId val="{00000000-77F7-4539-B8AD-26E09F0C20E8}"/>
            </c:ext>
          </c:extLst>
        </c:ser>
        <c:ser>
          <c:idx val="1"/>
          <c:order val="1"/>
          <c:tx>
            <c:strRef>
              <c:f>'pivot table'!$M$34</c:f>
              <c:strCache>
                <c:ptCount val="1"/>
                <c:pt idx="0">
                  <c:v>Count of Patient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EC-4755-9D1C-9C867B429174}"/>
              </c:ext>
            </c:extLst>
          </c:dPt>
          <c:cat>
            <c:strRef>
              <c:f>'pivot table'!$K$35:$K$37</c:f>
              <c:strCache>
                <c:ptCount val="2"/>
                <c:pt idx="0">
                  <c:v>Female</c:v>
                </c:pt>
                <c:pt idx="1">
                  <c:v>Male</c:v>
                </c:pt>
              </c:strCache>
            </c:strRef>
          </c:cat>
          <c:val>
            <c:numRef>
              <c:f>'pivot table'!$M$35:$M$37</c:f>
              <c:numCache>
                <c:formatCode>0.00%</c:formatCode>
                <c:ptCount val="2"/>
                <c:pt idx="0">
                  <c:v>0.48922413793103448</c:v>
                </c:pt>
                <c:pt idx="1">
                  <c:v>0.51077586206896552</c:v>
                </c:pt>
              </c:numCache>
            </c:numRef>
          </c:val>
          <c:extLst>
            <c:ext xmlns:c16="http://schemas.microsoft.com/office/drawing/2014/chart" uri="{C3380CC4-5D6E-409C-BE32-E72D297353CC}">
              <c16:uniqueId val="{00000001-77F7-4539-B8AD-26E09F0C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6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pieChart>
        <c:varyColors val="1"/>
        <c:ser>
          <c:idx val="0"/>
          <c:order val="0"/>
          <c:tx>
            <c:strRef>
              <c:f>'pivot table'!$L$34</c:f>
              <c:strCache>
                <c:ptCount val="1"/>
                <c:pt idx="0">
                  <c:v>Count of Patient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C-4755-9D1C-9C867B429174}"/>
              </c:ext>
            </c:extLst>
          </c:dPt>
          <c:cat>
            <c:strRef>
              <c:f>'pivot table'!$K$35:$K$37</c:f>
              <c:strCache>
                <c:ptCount val="2"/>
                <c:pt idx="0">
                  <c:v>Female</c:v>
                </c:pt>
                <c:pt idx="1">
                  <c:v>Male</c:v>
                </c:pt>
              </c:strCache>
            </c:strRef>
          </c:cat>
          <c:val>
            <c:numRef>
              <c:f>'pivot table'!$L$35:$L$37</c:f>
              <c:numCache>
                <c:formatCode>0.00</c:formatCode>
                <c:ptCount val="2"/>
                <c:pt idx="0">
                  <c:v>227</c:v>
                </c:pt>
                <c:pt idx="1">
                  <c:v>237</c:v>
                </c:pt>
              </c:numCache>
            </c:numRef>
          </c:val>
          <c:extLst>
            <c:ext xmlns:c16="http://schemas.microsoft.com/office/drawing/2014/chart" uri="{C3380CC4-5D6E-409C-BE32-E72D297353CC}">
              <c16:uniqueId val="{00000000-77F7-4539-B8AD-26E09F0C20E8}"/>
            </c:ext>
          </c:extLst>
        </c:ser>
        <c:ser>
          <c:idx val="1"/>
          <c:order val="1"/>
          <c:tx>
            <c:strRef>
              <c:f>'pivot table'!$M$34</c:f>
              <c:strCache>
                <c:ptCount val="1"/>
                <c:pt idx="0">
                  <c:v>Count of Patient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EC-4755-9D1C-9C867B429174}"/>
              </c:ext>
            </c:extLst>
          </c:dPt>
          <c:cat>
            <c:strRef>
              <c:f>'pivot table'!$K$35:$K$37</c:f>
              <c:strCache>
                <c:ptCount val="2"/>
                <c:pt idx="0">
                  <c:v>Female</c:v>
                </c:pt>
                <c:pt idx="1">
                  <c:v>Male</c:v>
                </c:pt>
              </c:strCache>
            </c:strRef>
          </c:cat>
          <c:val>
            <c:numRef>
              <c:f>'pivot table'!$M$35:$M$37</c:f>
              <c:numCache>
                <c:formatCode>0.00%</c:formatCode>
                <c:ptCount val="2"/>
                <c:pt idx="0">
                  <c:v>0.48922413793103448</c:v>
                </c:pt>
                <c:pt idx="1">
                  <c:v>0.51077586206896552</c:v>
                </c:pt>
              </c:numCache>
            </c:numRef>
          </c:val>
          <c:extLst>
            <c:ext xmlns:c16="http://schemas.microsoft.com/office/drawing/2014/chart" uri="{C3380CC4-5D6E-409C-BE32-E72D297353CC}">
              <c16:uniqueId val="{00000001-77F7-4539-B8AD-26E09F0C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7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pieChart>
        <c:varyColors val="1"/>
        <c:ser>
          <c:idx val="0"/>
          <c:order val="0"/>
          <c:tx>
            <c:strRef>
              <c:f>'pivot table'!$L$34</c:f>
              <c:strCache>
                <c:ptCount val="1"/>
                <c:pt idx="0">
                  <c:v>Count of Patient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C-4755-9D1C-9C867B429174}"/>
              </c:ext>
            </c:extLst>
          </c:dPt>
          <c:cat>
            <c:strRef>
              <c:f>'pivot table'!$K$35:$K$37</c:f>
              <c:strCache>
                <c:ptCount val="2"/>
                <c:pt idx="0">
                  <c:v>Female</c:v>
                </c:pt>
                <c:pt idx="1">
                  <c:v>Male</c:v>
                </c:pt>
              </c:strCache>
            </c:strRef>
          </c:cat>
          <c:val>
            <c:numRef>
              <c:f>'pivot table'!$L$35:$L$37</c:f>
              <c:numCache>
                <c:formatCode>0.00</c:formatCode>
                <c:ptCount val="2"/>
                <c:pt idx="0">
                  <c:v>227</c:v>
                </c:pt>
                <c:pt idx="1">
                  <c:v>237</c:v>
                </c:pt>
              </c:numCache>
            </c:numRef>
          </c:val>
          <c:extLst>
            <c:ext xmlns:c16="http://schemas.microsoft.com/office/drawing/2014/chart" uri="{C3380CC4-5D6E-409C-BE32-E72D297353CC}">
              <c16:uniqueId val="{00000000-77F7-4539-B8AD-26E09F0C20E8}"/>
            </c:ext>
          </c:extLst>
        </c:ser>
        <c:ser>
          <c:idx val="1"/>
          <c:order val="1"/>
          <c:tx>
            <c:strRef>
              <c:f>'pivot table'!$M$34</c:f>
              <c:strCache>
                <c:ptCount val="1"/>
                <c:pt idx="0">
                  <c:v>Count of Patient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EC-4755-9D1C-9C867B429174}"/>
              </c:ext>
            </c:extLst>
          </c:dPt>
          <c:cat>
            <c:strRef>
              <c:f>'pivot table'!$K$35:$K$37</c:f>
              <c:strCache>
                <c:ptCount val="2"/>
                <c:pt idx="0">
                  <c:v>Female</c:v>
                </c:pt>
                <c:pt idx="1">
                  <c:v>Male</c:v>
                </c:pt>
              </c:strCache>
            </c:strRef>
          </c:cat>
          <c:val>
            <c:numRef>
              <c:f>'pivot table'!$M$35:$M$37</c:f>
              <c:numCache>
                <c:formatCode>0.00%</c:formatCode>
                <c:ptCount val="2"/>
                <c:pt idx="0">
                  <c:v>0.48922413793103448</c:v>
                </c:pt>
                <c:pt idx="1">
                  <c:v>0.51077586206896552</c:v>
                </c:pt>
              </c:numCache>
            </c:numRef>
          </c:val>
          <c:extLst>
            <c:ext xmlns:c16="http://schemas.microsoft.com/office/drawing/2014/chart" uri="{C3380CC4-5D6E-409C-BE32-E72D297353CC}">
              <c16:uniqueId val="{00000001-77F7-4539-B8AD-26E09F0C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7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'pivot table'!$L$34</c:f>
              <c:strCache>
                <c:ptCount val="1"/>
                <c:pt idx="0">
                  <c:v>Count of Patient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C-4755-9D1C-9C867B429174}"/>
              </c:ext>
            </c:extLst>
          </c:dPt>
          <c:cat>
            <c:strRef>
              <c:f>'pivot table'!$K$35:$K$37</c:f>
              <c:strCache>
                <c:ptCount val="2"/>
                <c:pt idx="0">
                  <c:v>Female</c:v>
                </c:pt>
                <c:pt idx="1">
                  <c:v>Male</c:v>
                </c:pt>
              </c:strCache>
            </c:strRef>
          </c:cat>
          <c:val>
            <c:numRef>
              <c:f>'pivot table'!$L$35:$L$37</c:f>
              <c:numCache>
                <c:formatCode>0.00</c:formatCode>
                <c:ptCount val="2"/>
                <c:pt idx="0">
                  <c:v>227</c:v>
                </c:pt>
                <c:pt idx="1">
                  <c:v>237</c:v>
                </c:pt>
              </c:numCache>
            </c:numRef>
          </c:val>
          <c:extLst>
            <c:ext xmlns:c16="http://schemas.microsoft.com/office/drawing/2014/chart" uri="{C3380CC4-5D6E-409C-BE32-E72D297353CC}">
              <c16:uniqueId val="{00000000-77F7-4539-B8AD-26E09F0C20E8}"/>
            </c:ext>
          </c:extLst>
        </c:ser>
        <c:ser>
          <c:idx val="1"/>
          <c:order val="1"/>
          <c:tx>
            <c:strRef>
              <c:f>'pivot table'!$M$34</c:f>
              <c:strCache>
                <c:ptCount val="1"/>
                <c:pt idx="0">
                  <c:v>Count of Patient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EC-4755-9D1C-9C867B429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EC-4755-9D1C-9C867B429174}"/>
              </c:ext>
            </c:extLst>
          </c:dPt>
          <c:cat>
            <c:strRef>
              <c:f>'pivot table'!$K$35:$K$37</c:f>
              <c:strCache>
                <c:ptCount val="2"/>
                <c:pt idx="0">
                  <c:v>Female</c:v>
                </c:pt>
                <c:pt idx="1">
                  <c:v>Male</c:v>
                </c:pt>
              </c:strCache>
            </c:strRef>
          </c:cat>
          <c:val>
            <c:numRef>
              <c:f>'pivot table'!$M$35:$M$37</c:f>
              <c:numCache>
                <c:formatCode>0.00%</c:formatCode>
                <c:ptCount val="2"/>
                <c:pt idx="0">
                  <c:v>0.48922413793103448</c:v>
                </c:pt>
                <c:pt idx="1">
                  <c:v>0.51077586206896552</c:v>
                </c:pt>
              </c:numCache>
            </c:numRef>
          </c:val>
          <c:extLst>
            <c:ext xmlns:c16="http://schemas.microsoft.com/office/drawing/2014/chart" uri="{C3380CC4-5D6E-409C-BE32-E72D297353CC}">
              <c16:uniqueId val="{00000001-77F7-4539-B8AD-26E09F0C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
        <c:idx val="9"/>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
        <c:idx val="1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1"/>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
        <c:idx val="15"/>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s>
    <c:plotArea>
      <c:layout>
        <c:manualLayout>
          <c:layoutTarget val="inner"/>
          <c:xMode val="edge"/>
          <c:yMode val="edge"/>
          <c:x val="0.30870603674540681"/>
          <c:y val="0.16435185185185186"/>
          <c:w val="0.46388888888888891"/>
          <c:h val="0.77314814814814814"/>
        </c:manualLayout>
      </c:layout>
      <c:pieChart>
        <c:varyColors val="1"/>
        <c:ser>
          <c:idx val="0"/>
          <c:order val="0"/>
          <c:tx>
            <c:v>Series1</c:v>
          </c:tx>
          <c:dPt>
            <c:idx val="0"/>
            <c:bubble3D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extLst>
              <c:ext xmlns:c16="http://schemas.microsoft.com/office/drawing/2014/chart" uri="{C3380CC4-5D6E-409C-BE32-E72D297353CC}">
                <c16:uniqueId val="{00000001-AEE5-499A-B2CD-692B5D1D8EDA}"/>
              </c:ext>
            </c:extLst>
          </c:dPt>
          <c:dPt>
            <c:idx val="1"/>
            <c:bubble3D val="0"/>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extLst>
              <c:ext xmlns:c16="http://schemas.microsoft.com/office/drawing/2014/chart" uri="{C3380CC4-5D6E-409C-BE32-E72D297353CC}">
                <c16:uniqueId val="{00000003-AEE5-499A-B2CD-692B5D1D8EDA}"/>
              </c:ext>
            </c:extLst>
          </c:dPt>
          <c:dLbls>
            <c:dLbl>
              <c:idx val="0"/>
              <c:layout>
                <c:manualLayout>
                  <c:x val="-3.5140748031496062E-2"/>
                  <c:y val="7.9115266841644799E-2"/>
                </c:manualLayout>
              </c:layout>
              <c:tx>
                <c:rich>
                  <a:bodyPr/>
                  <a:lstStyle/>
                  <a:p>
                    <a:fld id="{09E555F3-E2E5-4FA1-9D81-A2C93F9D2F85}"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5-499A-B2CD-692B5D1D8EDA}"/>
                </c:ext>
              </c:extLst>
            </c:dLbl>
            <c:dLbl>
              <c:idx val="1"/>
              <c:layout>
                <c:manualLayout>
                  <c:x val="1.9810258092738408E-2"/>
                  <c:y val="-3.520268299795859E-2"/>
                </c:manualLayout>
              </c:layout>
              <c:tx>
                <c:rich>
                  <a:bodyPr/>
                  <a:lstStyle/>
                  <a:p>
                    <a:fld id="{36DA4E1D-A1DC-477C-BD1A-7E7722797ADE}"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EE5-499A-B2CD-692B5D1D8E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howDataLabelsRange val="1"/>
              </c:ext>
            </c:extLst>
          </c:dLbls>
          <c:cat>
            <c:strLit>
              <c:ptCount val="2"/>
              <c:pt idx="0">
                <c:v>Delayed</c:v>
              </c:pt>
              <c:pt idx="1">
                <c:v>On Time</c:v>
              </c:pt>
            </c:strLit>
          </c:cat>
          <c:val>
            <c:numLit>
              <c:formatCode>General</c:formatCode>
              <c:ptCount val="2"/>
              <c:pt idx="0">
                <c:v>543</c:v>
              </c:pt>
              <c:pt idx="1">
                <c:v>421</c:v>
              </c:pt>
            </c:numLit>
          </c:val>
          <c:extLst>
            <c:ext xmlns:c15="http://schemas.microsoft.com/office/drawing/2012/chart" uri="{02D57815-91ED-43cb-92C2-25804820EDAC}">
              <c15:datalabelsRange>
                <c15:f>'pivot table'!$M$30:$M$31</c15:f>
                <c15:dlblRangeCache>
                  <c:ptCount val="2"/>
                </c15:dlblRangeCache>
              </c15:datalabelsRange>
            </c:ext>
            <c:ext xmlns:c16="http://schemas.microsoft.com/office/drawing/2014/chart" uri="{C3380CC4-5D6E-409C-BE32-E72D297353CC}">
              <c16:uniqueId val="{00000004-AEE5-499A-B2CD-692B5D1D8EDA}"/>
            </c:ext>
          </c:extLst>
        </c:ser>
        <c:ser>
          <c:idx val="1"/>
          <c:order val="1"/>
          <c:tx>
            <c:v>Series2</c:v>
          </c:tx>
          <c:dPt>
            <c:idx val="0"/>
            <c:bubble3D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extLst>
              <c:ext xmlns:c16="http://schemas.microsoft.com/office/drawing/2014/chart" uri="{C3380CC4-5D6E-409C-BE32-E72D297353CC}">
                <c16:uniqueId val="{00000006-AEE5-499A-B2CD-692B5D1D8EDA}"/>
              </c:ext>
            </c:extLst>
          </c:dPt>
          <c:dPt>
            <c:idx val="1"/>
            <c:bubble3D val="0"/>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extLst>
              <c:ext xmlns:c16="http://schemas.microsoft.com/office/drawing/2014/chart" uri="{C3380CC4-5D6E-409C-BE32-E72D297353CC}">
                <c16:uniqueId val="{00000008-AEE5-499A-B2CD-692B5D1D8EDA}"/>
              </c:ext>
            </c:extLst>
          </c:dPt>
          <c:cat>
            <c:strLit>
              <c:ptCount val="2"/>
              <c:pt idx="0">
                <c:v>Delayed</c:v>
              </c:pt>
              <c:pt idx="1">
                <c:v>On Time</c:v>
              </c:pt>
            </c:strLit>
          </c:cat>
          <c:val>
            <c:numLit>
              <c:formatCode>General</c:formatCode>
              <c:ptCount val="2"/>
              <c:pt idx="0">
                <c:v>0.56327800829875518</c:v>
              </c:pt>
              <c:pt idx="1">
                <c:v>0.43672199170124482</c:v>
              </c:pt>
            </c:numLit>
          </c:val>
          <c:extLst>
            <c:ext xmlns:c16="http://schemas.microsoft.com/office/drawing/2014/chart" uri="{C3380CC4-5D6E-409C-BE32-E72D297353CC}">
              <c16:uniqueId val="{00000009-AEE5-499A-B2CD-692B5D1D8E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[Dashboard.xlsx]patient by dept!PivotTable22</c:name>
    <c:fmtId val="6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by dept'!$C$4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by dept'!$B$5:$B$13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'patient by dept'!$C$5:$C$13</c:f>
              <c:numCache>
                <c:formatCode>0.00</c:formatCode>
                <c:ptCount val="8"/>
                <c:pt idx="0">
                  <c:v>13</c:v>
                </c:pt>
                <c:pt idx="1">
                  <c:v>14</c:v>
                </c:pt>
                <c:pt idx="2">
                  <c:v>91</c:v>
                </c:pt>
                <c:pt idx="3">
                  <c:v>6</c:v>
                </c:pt>
                <c:pt idx="4">
                  <c:v>252</c:v>
                </c:pt>
                <c:pt idx="5">
                  <c:v>67</c:v>
                </c:pt>
                <c:pt idx="6">
                  <c:v>19</c:v>
                </c:pt>
                <c:pt idx="7">
                  <c:v>2</c:v>
                </c:pt>
              </c:numCache>
            </c:numRef>
          </c:val>
          <c:extLst>
            <c:ext xmlns:c16="http://schemas.microsoft.com/office/drawing/2014/chart" uri="{C3380CC4-5D6E-409C-BE32-E72D297353CC}">
              <c16:uniqueId val="{00000000-FFA6-412C-874A-2DBCCB580A17}"/>
            </c:ext>
          </c:extLst>
        </c:ser>
        <c:dLbls>
          <c:showLegendKey val="0"/>
          <c:showVal val="0"/>
          <c:showCatName val="0"/>
          <c:showSerName val="0"/>
          <c:showPercent val="0"/>
          <c:showBubbleSize val="0"/>
        </c:dLbls>
        <c:gapWidth val="182"/>
        <c:axId val="1545588320"/>
        <c:axId val="1545586240"/>
      </c:barChart>
      <c:catAx>
        <c:axId val="154558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86240"/>
        <c:crosses val="autoZero"/>
        <c:auto val="1"/>
        <c:lblAlgn val="ctr"/>
        <c:lblOffset val="100"/>
        <c:noMultiLvlLbl val="0"/>
      </c:catAx>
      <c:valAx>
        <c:axId val="1545586240"/>
        <c:scaling>
          <c:orientation val="minMax"/>
        </c:scaling>
        <c:delete val="1"/>
        <c:axPos val="b"/>
        <c:numFmt formatCode="0.00" sourceLinked="1"/>
        <c:majorTickMark val="none"/>
        <c:minorTickMark val="none"/>
        <c:tickLblPos val="nextTo"/>
        <c:crossAx val="154558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[Dashboard.xlsx]patient vs race!PivotTable16</c:name>
    <c:fmtId val="6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48000"/>
            </a:schemeClr>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
        <c:idx val="4"/>
        <c:spPr>
          <a:solidFill>
            <a:schemeClr val="accent1">
              <a:tint val="83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hade val="82000"/>
            </a:schemeClr>
          </a:solidFill>
          <a:ln>
            <a:noFill/>
          </a:ln>
          <a:effectLst>
            <a:outerShdw blurRad="254000" sx="102000" sy="102000" algn="ctr" rotWithShape="0">
              <a:prstClr val="black">
                <a:alpha val="20000"/>
              </a:prstClr>
            </a:outerShdw>
          </a:effectLst>
        </c:spPr>
      </c:pivotFmt>
      <c:pivotFmt>
        <c:idx val="7"/>
        <c:spPr>
          <a:solidFill>
            <a:schemeClr val="accent1">
              <a:shade val="65000"/>
            </a:schemeClr>
          </a:solidFill>
          <a:ln>
            <a:noFill/>
          </a:ln>
          <a:effectLst>
            <a:outerShdw blurRad="254000" sx="102000" sy="102000" algn="ctr" rotWithShape="0">
              <a:prstClr val="black">
                <a:alpha val="20000"/>
              </a:prstClr>
            </a:outerShdw>
          </a:effectLst>
        </c:spPr>
      </c:pivotFmt>
      <c:pivotFmt>
        <c:idx val="8"/>
        <c:spPr>
          <a:solidFill>
            <a:schemeClr val="accent1">
              <a:shade val="47000"/>
            </a:schemeClr>
          </a:solidFill>
          <a:ln>
            <a:noFill/>
          </a:ln>
          <a:effectLst>
            <a:outerShdw blurRad="254000" sx="102000" sy="102000" algn="ctr" rotWithShape="0">
              <a:prstClr val="black">
                <a:alpha val="20000"/>
              </a:prstClr>
            </a:outerShdw>
          </a:effectLst>
        </c:spPr>
      </c:pivotFmt>
      <c:pivotFmt>
        <c:idx val="9"/>
        <c:spPr>
          <a:solidFill>
            <a:schemeClr val="accent1">
              <a:tint val="48000"/>
            </a:schemeClr>
          </a:solidFill>
          <a:ln>
            <a:noFill/>
          </a:ln>
          <a:effectLst>
            <a:outerShdw blurRad="254000" sx="102000" sy="102000" algn="ctr" rotWithShape="0">
              <a:prstClr val="black">
                <a:alpha val="20000"/>
              </a:prstClr>
            </a:outerShdw>
          </a:effectLst>
        </c:spPr>
      </c:pivotFmt>
      <c:pivotFmt>
        <c:idx val="10"/>
        <c:spPr>
          <a:solidFill>
            <a:schemeClr val="accent1">
              <a:tint val="65000"/>
            </a:schemeClr>
          </a:solidFill>
          <a:ln>
            <a:noFill/>
          </a:ln>
          <a:effectLst>
            <a:outerShdw blurRad="254000" sx="102000" sy="102000" algn="ctr" rotWithShape="0">
              <a:prstClr val="black">
                <a:alpha val="20000"/>
              </a:prstClr>
            </a:outerShdw>
          </a:effectLst>
        </c:spPr>
      </c:pivotFmt>
      <c:pivotFmt>
        <c:idx val="11"/>
        <c:spPr>
          <a:solidFill>
            <a:schemeClr val="accent1">
              <a:tint val="83000"/>
            </a:schemeClr>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hade val="82000"/>
            </a:schemeClr>
          </a:solidFill>
          <a:ln>
            <a:noFill/>
          </a:ln>
          <a:effectLst>
            <a:outerShdw blurRad="254000" sx="102000" sy="102000" algn="ctr" rotWithShape="0">
              <a:prstClr val="black">
                <a:alpha val="20000"/>
              </a:prstClr>
            </a:outerShdw>
          </a:effectLst>
        </c:spPr>
      </c:pivotFmt>
      <c:pivotFmt>
        <c:idx val="14"/>
        <c:spPr>
          <a:solidFill>
            <a:schemeClr val="accent1">
              <a:shade val="65000"/>
            </a:schemeClr>
          </a:solidFill>
          <a:ln>
            <a:noFill/>
          </a:ln>
          <a:effectLst>
            <a:outerShdw blurRad="254000" sx="102000" sy="102000" algn="ctr" rotWithShape="0">
              <a:prstClr val="black">
                <a:alpha val="20000"/>
              </a:prstClr>
            </a:outerShdw>
          </a:effectLst>
        </c:spPr>
      </c:pivotFmt>
      <c:pivotFmt>
        <c:idx val="15"/>
        <c:spPr>
          <a:solidFill>
            <a:schemeClr val="accent1">
              <a:shade val="4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'patient vs race'!$B$2</c:f>
              <c:strCache>
                <c:ptCount val="1"/>
                <c:pt idx="0">
                  <c:v>Count of Patient Id</c:v>
                </c:pt>
              </c:strCache>
            </c:strRef>
          </c:tx>
          <c:dPt>
            <c:idx val="0"/>
            <c:bubble3D val="0"/>
            <c:spPr>
              <a:solidFill>
                <a:schemeClr val="accent1">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7C-4496-882F-720EF4F7D100}"/>
              </c:ext>
            </c:extLst>
          </c:dPt>
          <c:dPt>
            <c:idx val="1"/>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7C-4496-882F-720EF4F7D100}"/>
              </c:ext>
            </c:extLst>
          </c:dPt>
          <c:dPt>
            <c:idx val="2"/>
            <c:bubble3D val="0"/>
            <c:spPr>
              <a:solidFill>
                <a:schemeClr val="accent1">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97C-4496-882F-720EF4F7D100}"/>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97C-4496-882F-720EF4F7D100}"/>
              </c:ext>
            </c:extLst>
          </c:dPt>
          <c:dPt>
            <c:idx val="4"/>
            <c:bubble3D val="0"/>
            <c:spPr>
              <a:solidFill>
                <a:schemeClr val="accent1">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97C-4496-882F-720EF4F7D100}"/>
              </c:ext>
            </c:extLst>
          </c:dPt>
          <c:dPt>
            <c:idx val="5"/>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97C-4496-882F-720EF4F7D100}"/>
              </c:ext>
            </c:extLst>
          </c:dPt>
          <c:dPt>
            <c:idx val="6"/>
            <c:bubble3D val="0"/>
            <c:spPr>
              <a:solidFill>
                <a:schemeClr val="accent1">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97C-4496-882F-720EF4F7D1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vs race'!$A$3:$A$10</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'patient vs race'!$B$3:$B$10</c:f>
              <c:numCache>
                <c:formatCode>0.00</c:formatCode>
                <c:ptCount val="7"/>
                <c:pt idx="0">
                  <c:v>117</c:v>
                </c:pt>
                <c:pt idx="1">
                  <c:v>58</c:v>
                </c:pt>
                <c:pt idx="2">
                  <c:v>50</c:v>
                </c:pt>
                <c:pt idx="3">
                  <c:v>24</c:v>
                </c:pt>
                <c:pt idx="4">
                  <c:v>29</c:v>
                </c:pt>
                <c:pt idx="5">
                  <c:v>58</c:v>
                </c:pt>
                <c:pt idx="6">
                  <c:v>128</c:v>
                </c:pt>
              </c:numCache>
            </c:numRef>
          </c:val>
          <c:extLst>
            <c:ext xmlns:c16="http://schemas.microsoft.com/office/drawing/2014/chart" uri="{C3380CC4-5D6E-409C-BE32-E72D297353CC}">
              <c16:uniqueId val="{00000000-C606-449F-BACA-68B29DE1AAA3}"/>
            </c:ext>
          </c:extLst>
        </c:ser>
        <c:ser>
          <c:idx val="1"/>
          <c:order val="1"/>
          <c:tx>
            <c:strRef>
              <c:f>'patient vs race'!$C$2</c:f>
              <c:strCache>
                <c:ptCount val="1"/>
                <c:pt idx="0">
                  <c:v>Count of Patient percentage</c:v>
                </c:pt>
              </c:strCache>
            </c:strRef>
          </c:tx>
          <c:dPt>
            <c:idx val="0"/>
            <c:bubble3D val="0"/>
            <c:spPr>
              <a:solidFill>
                <a:schemeClr val="accent1">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97C-4496-882F-720EF4F7D100}"/>
              </c:ext>
            </c:extLst>
          </c:dPt>
          <c:dPt>
            <c:idx val="1"/>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97C-4496-882F-720EF4F7D100}"/>
              </c:ext>
            </c:extLst>
          </c:dPt>
          <c:dPt>
            <c:idx val="2"/>
            <c:bubble3D val="0"/>
            <c:spPr>
              <a:solidFill>
                <a:schemeClr val="accent1">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97C-4496-882F-720EF4F7D100}"/>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97C-4496-882F-720EF4F7D100}"/>
              </c:ext>
            </c:extLst>
          </c:dPt>
          <c:dPt>
            <c:idx val="4"/>
            <c:bubble3D val="0"/>
            <c:spPr>
              <a:solidFill>
                <a:schemeClr val="accent1">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97C-4496-882F-720EF4F7D100}"/>
              </c:ext>
            </c:extLst>
          </c:dPt>
          <c:dPt>
            <c:idx val="5"/>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97C-4496-882F-720EF4F7D100}"/>
              </c:ext>
            </c:extLst>
          </c:dPt>
          <c:dPt>
            <c:idx val="6"/>
            <c:bubble3D val="0"/>
            <c:spPr>
              <a:solidFill>
                <a:schemeClr val="accent1">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97C-4496-882F-720EF4F7D1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vs race'!$A$3:$A$10</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'patient vs race'!$C$3:$C$10</c:f>
              <c:numCache>
                <c:formatCode>0.00%</c:formatCode>
                <c:ptCount val="7"/>
                <c:pt idx="0">
                  <c:v>0.25215517241379309</c:v>
                </c:pt>
                <c:pt idx="1">
                  <c:v>0.125</c:v>
                </c:pt>
                <c:pt idx="2">
                  <c:v>0.10775862068965517</c:v>
                </c:pt>
                <c:pt idx="3">
                  <c:v>5.1724137931034482E-2</c:v>
                </c:pt>
                <c:pt idx="4">
                  <c:v>6.25E-2</c:v>
                </c:pt>
                <c:pt idx="5">
                  <c:v>0.125</c:v>
                </c:pt>
                <c:pt idx="6">
                  <c:v>0.27586206896551724</c:v>
                </c:pt>
              </c:numCache>
            </c:numRef>
          </c:val>
          <c:extLst>
            <c:ext xmlns:c16="http://schemas.microsoft.com/office/drawing/2014/chart" uri="{C3380CC4-5D6E-409C-BE32-E72D297353CC}">
              <c16:uniqueId val="{00000001-C606-449F-BACA-68B29DE1AAA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
        <c:idx val="9"/>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
        <c:idx val="1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1"/>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3.5140748031496062E-2"/>
              <c:y val="7.9115266841644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E555F3-E2E5-4FA1-9D81-A2C93F9D2F8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dLbl>
          <c:idx val="0"/>
          <c:layout>
            <c:manualLayout>
              <c:x val="1.9810258092738408E-2"/>
              <c:y val="-3.5202682997958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A4E1D-A1DC-477C-BD1A-7E7722797A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
        <c:idx val="15"/>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pivotFmt>
    </c:pivotFmts>
    <c:plotArea>
      <c:layout>
        <c:manualLayout>
          <c:layoutTarget val="inner"/>
          <c:xMode val="edge"/>
          <c:yMode val="edge"/>
          <c:x val="0.30870603674540681"/>
          <c:y val="0.16435185185185186"/>
          <c:w val="0.46388888888888891"/>
          <c:h val="0.77314814814814814"/>
        </c:manualLayout>
      </c:layout>
      <c:pieChart>
        <c:varyColors val="1"/>
        <c:ser>
          <c:idx val="0"/>
          <c:order val="0"/>
          <c:tx>
            <c:v>Series1</c:v>
          </c:tx>
          <c:dPt>
            <c:idx val="0"/>
            <c:bubble3D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extLst>
              <c:ext xmlns:c16="http://schemas.microsoft.com/office/drawing/2014/chart" uri="{C3380CC4-5D6E-409C-BE32-E72D297353CC}">
                <c16:uniqueId val="{00000001-FFEE-4658-B04E-7B3B3D7CEE90}"/>
              </c:ext>
            </c:extLst>
          </c:dPt>
          <c:dPt>
            <c:idx val="1"/>
            <c:bubble3D val="0"/>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extLst>
              <c:ext xmlns:c16="http://schemas.microsoft.com/office/drawing/2014/chart" uri="{C3380CC4-5D6E-409C-BE32-E72D297353CC}">
                <c16:uniqueId val="{00000003-FFEE-4658-B04E-7B3B3D7CEE90}"/>
              </c:ext>
            </c:extLst>
          </c:dPt>
          <c:dLbls>
            <c:dLbl>
              <c:idx val="0"/>
              <c:layout>
                <c:manualLayout>
                  <c:x val="-3.5140748031496062E-2"/>
                  <c:y val="7.9115266841644799E-2"/>
                </c:manualLayout>
              </c:layout>
              <c:tx>
                <c:rich>
                  <a:bodyPr/>
                  <a:lstStyle/>
                  <a:p>
                    <a:fld id="{09E555F3-E2E5-4FA1-9D81-A2C93F9D2F85}"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FEE-4658-B04E-7B3B3D7CEE90}"/>
                </c:ext>
              </c:extLst>
            </c:dLbl>
            <c:dLbl>
              <c:idx val="1"/>
              <c:layout>
                <c:manualLayout>
                  <c:x val="1.9810258092738408E-2"/>
                  <c:y val="-3.520268299795859E-2"/>
                </c:manualLayout>
              </c:layout>
              <c:tx>
                <c:rich>
                  <a:bodyPr/>
                  <a:lstStyle/>
                  <a:p>
                    <a:fld id="{36DA4E1D-A1DC-477C-BD1A-7E7722797ADE}" type="CELLRANGE">
                      <a:rPr lang="en-US"/>
                      <a:pPr/>
                      <a:t>[CELLRANGE]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FEE-4658-B04E-7B3B3D7CE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howDataLabelsRange val="1"/>
              </c:ext>
            </c:extLst>
          </c:dLbls>
          <c:cat>
            <c:strLit>
              <c:ptCount val="2"/>
              <c:pt idx="0">
                <c:v>Delayed</c:v>
              </c:pt>
              <c:pt idx="1">
                <c:v>On Time</c:v>
              </c:pt>
            </c:strLit>
          </c:cat>
          <c:val>
            <c:numLit>
              <c:formatCode>General</c:formatCode>
              <c:ptCount val="2"/>
              <c:pt idx="0">
                <c:v>543</c:v>
              </c:pt>
              <c:pt idx="1">
                <c:v>421</c:v>
              </c:pt>
            </c:numLit>
          </c:val>
          <c:extLst>
            <c:ext xmlns:c15="http://schemas.microsoft.com/office/drawing/2012/chart" uri="{02D57815-91ED-43cb-92C2-25804820EDAC}">
              <c15:datalabelsRange>
                <c15:f>'pivot table'!$M$30:$M$31</c15:f>
                <c15:dlblRangeCache>
                  <c:ptCount val="2"/>
                </c15:dlblRangeCache>
              </c15:datalabelsRange>
            </c:ext>
            <c:ext xmlns:c16="http://schemas.microsoft.com/office/drawing/2014/chart" uri="{C3380CC4-5D6E-409C-BE32-E72D297353CC}">
              <c16:uniqueId val="{00000004-FFEE-4658-B04E-7B3B3D7CEE90}"/>
            </c:ext>
          </c:extLst>
        </c:ser>
        <c:ser>
          <c:idx val="1"/>
          <c:order val="1"/>
          <c:tx>
            <c:v>Series2</c:v>
          </c:tx>
          <c:dPt>
            <c:idx val="0"/>
            <c:bubble3D val="0"/>
            <c:spPr>
              <a:pattFill prst="ltUpDiag">
                <a:fgClr>
                  <a:schemeClr val="dk1">
                    <a:tint val="88500"/>
                  </a:schemeClr>
                </a:fgClr>
                <a:bgClr>
                  <a:schemeClr val="dk1">
                    <a:tint val="88500"/>
                    <a:lumMod val="20000"/>
                    <a:lumOff val="80000"/>
                  </a:schemeClr>
                </a:bgClr>
              </a:pattFill>
              <a:ln w="19050">
                <a:solidFill>
                  <a:schemeClr val="lt1"/>
                </a:solidFill>
              </a:ln>
              <a:effectLst>
                <a:innerShdw blurRad="114300">
                  <a:schemeClr val="dk1">
                    <a:tint val="88500"/>
                  </a:schemeClr>
                </a:innerShdw>
              </a:effectLst>
            </c:spPr>
            <c:extLst>
              <c:ext xmlns:c16="http://schemas.microsoft.com/office/drawing/2014/chart" uri="{C3380CC4-5D6E-409C-BE32-E72D297353CC}">
                <c16:uniqueId val="{00000006-FFEE-4658-B04E-7B3B3D7CEE90}"/>
              </c:ext>
            </c:extLst>
          </c:dPt>
          <c:dPt>
            <c:idx val="1"/>
            <c:bubble3D val="0"/>
            <c:spPr>
              <a:pattFill prst="ltUpDiag">
                <a:fgClr>
                  <a:schemeClr val="dk1">
                    <a:tint val="55000"/>
                  </a:schemeClr>
                </a:fgClr>
                <a:bgClr>
                  <a:schemeClr val="dk1">
                    <a:tint val="55000"/>
                    <a:lumMod val="20000"/>
                    <a:lumOff val="80000"/>
                  </a:schemeClr>
                </a:bgClr>
              </a:pattFill>
              <a:ln w="19050">
                <a:solidFill>
                  <a:schemeClr val="lt1"/>
                </a:solidFill>
              </a:ln>
              <a:effectLst>
                <a:innerShdw blurRad="114300">
                  <a:schemeClr val="dk1">
                    <a:tint val="55000"/>
                  </a:schemeClr>
                </a:innerShdw>
              </a:effectLst>
            </c:spPr>
            <c:extLst>
              <c:ext xmlns:c16="http://schemas.microsoft.com/office/drawing/2014/chart" uri="{C3380CC4-5D6E-409C-BE32-E72D297353CC}">
                <c16:uniqueId val="{00000008-FFEE-4658-B04E-7B3B3D7CEE90}"/>
              </c:ext>
            </c:extLst>
          </c:dPt>
          <c:cat>
            <c:strLit>
              <c:ptCount val="2"/>
              <c:pt idx="0">
                <c:v>Delayed</c:v>
              </c:pt>
              <c:pt idx="1">
                <c:v>On Time</c:v>
              </c:pt>
            </c:strLit>
          </c:cat>
          <c:val>
            <c:numLit>
              <c:formatCode>General</c:formatCode>
              <c:ptCount val="2"/>
              <c:pt idx="0">
                <c:v>0.56327800829875518</c:v>
              </c:pt>
              <c:pt idx="1">
                <c:v>0.43672199170124482</c:v>
              </c:pt>
            </c:numLit>
          </c:val>
          <c:extLst>
            <c:ext xmlns:c16="http://schemas.microsoft.com/office/drawing/2014/chart" uri="{C3380CC4-5D6E-409C-BE32-E72D297353CC}">
              <c16:uniqueId val="{00000009-FFEE-4658-B04E-7B3B3D7CEE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circle"/>
          <c:size val="6"/>
          <c:spPr>
            <a:solidFill>
              <a:schemeClr val="dk1">
                <a:tint val="885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07734610096828E-2"/>
          <c:y val="0.17852859807468421"/>
          <c:w val="0.89019685039370078"/>
          <c:h val="0.72088764946048411"/>
        </c:manualLayout>
      </c:layout>
      <c:barChart>
        <c:barDir val="col"/>
        <c:grouping val="clustered"/>
        <c:varyColors val="0"/>
        <c:ser>
          <c:idx val="0"/>
          <c:order val="0"/>
          <c:tx>
            <c:v>Total</c:v>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0-9 </c:v>
              </c:pt>
              <c:pt idx="1">
                <c:v>10-19</c:v>
              </c:pt>
              <c:pt idx="2">
                <c:v>20-29</c:v>
              </c:pt>
              <c:pt idx="3">
                <c:v>30-39</c:v>
              </c:pt>
              <c:pt idx="4">
                <c:v>40-49</c:v>
              </c:pt>
              <c:pt idx="5">
                <c:v>50-59</c:v>
              </c:pt>
              <c:pt idx="6">
                <c:v>60-69</c:v>
              </c:pt>
              <c:pt idx="7">
                <c:v>70-79</c:v>
              </c:pt>
            </c:strLit>
          </c:cat>
          <c:val>
            <c:numLit>
              <c:formatCode>General</c:formatCode>
              <c:ptCount val="8"/>
              <c:pt idx="0">
                <c:v>129</c:v>
              </c:pt>
              <c:pt idx="1">
                <c:v>115</c:v>
              </c:pt>
              <c:pt idx="2">
                <c:v>131</c:v>
              </c:pt>
              <c:pt idx="3">
                <c:v>110</c:v>
              </c:pt>
              <c:pt idx="4">
                <c:v>130</c:v>
              </c:pt>
              <c:pt idx="5">
                <c:v>118</c:v>
              </c:pt>
              <c:pt idx="6">
                <c:v>109</c:v>
              </c:pt>
              <c:pt idx="7">
                <c:v>122</c:v>
              </c:pt>
            </c:numLit>
          </c:val>
          <c:extLst>
            <c:ext xmlns:c16="http://schemas.microsoft.com/office/drawing/2014/chart" uri="{C3380CC4-5D6E-409C-BE32-E72D297353CC}">
              <c16:uniqueId val="{00000000-DC82-45E3-83B8-A08CDA203A10}"/>
            </c:ext>
          </c:extLst>
        </c:ser>
        <c:dLbls>
          <c:dLblPos val="outEnd"/>
          <c:showLegendKey val="0"/>
          <c:showVal val="1"/>
          <c:showCatName val="0"/>
          <c:showSerName val="0"/>
          <c:showPercent val="0"/>
          <c:showBubbleSize val="0"/>
        </c:dLbls>
        <c:gapWidth val="164"/>
        <c:overlap val="-22"/>
        <c:axId val="895936256"/>
        <c:axId val="895935424"/>
      </c:barChart>
      <c:catAx>
        <c:axId val="8959362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935424"/>
        <c:crosses val="autoZero"/>
        <c:auto val="1"/>
        <c:lblAlgn val="ctr"/>
        <c:lblOffset val="100"/>
        <c:noMultiLvlLbl val="0"/>
      </c:catAx>
      <c:valAx>
        <c:axId val="895935424"/>
        <c:scaling>
          <c:orientation val="minMax"/>
        </c:scaling>
        <c:delete val="1"/>
        <c:axPos val="l"/>
        <c:numFmt formatCode="General" sourceLinked="1"/>
        <c:majorTickMark val="none"/>
        <c:minorTickMark val="none"/>
        <c:tickLblPos val="nextTo"/>
        <c:crossAx val="89593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image" Target="../media/image3.jpeg"/><Relationship Id="rId7" Type="http://schemas.openxmlformats.org/officeDocument/2006/relationships/chart" Target="../charts/chart2.xml"/><Relationship Id="rId12" Type="http://schemas.openxmlformats.org/officeDocument/2006/relationships/chart" Target="../charts/chart6.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5.xml"/><Relationship Id="rId5" Type="http://schemas.openxmlformats.org/officeDocument/2006/relationships/image" Target="../media/image5.em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absolute">
    <xdr:from>
      <xdr:col>9</xdr:col>
      <xdr:colOff>157620</xdr:colOff>
      <xdr:row>13</xdr:row>
      <xdr:rowOff>139478</xdr:rowOff>
    </xdr:from>
    <xdr:to>
      <xdr:col>11</xdr:col>
      <xdr:colOff>304800</xdr:colOff>
      <xdr:row>19</xdr:row>
      <xdr:rowOff>96672</xdr:rowOff>
    </xdr:to>
    <xdr:sp macro="" textlink="">
      <xdr:nvSpPr>
        <xdr:cNvPr id="11" name="Rectangle: Rounded Corners 10">
          <a:extLst>
            <a:ext uri="{FF2B5EF4-FFF2-40B4-BE49-F238E27FC236}">
              <a16:creationId xmlns:a16="http://schemas.microsoft.com/office/drawing/2014/main" id="{50FFA2E2-A82B-4CB1-B6D9-95427088F3D9}"/>
            </a:ext>
          </a:extLst>
        </xdr:cNvPr>
        <xdr:cNvSpPr/>
      </xdr:nvSpPr>
      <xdr:spPr>
        <a:xfrm>
          <a:off x="5644020" y="2505911"/>
          <a:ext cx="1366380" cy="1049394"/>
        </a:xfrm>
        <a:prstGeom prst="roundRect">
          <a:avLst>
            <a:gd name="adj" fmla="val 1384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11</xdr:col>
      <xdr:colOff>367759</xdr:colOff>
      <xdr:row>0</xdr:row>
      <xdr:rowOff>73572</xdr:rowOff>
    </xdr:from>
    <xdr:to>
      <xdr:col>13</xdr:col>
      <xdr:colOff>154830</xdr:colOff>
      <xdr:row>19</xdr:row>
      <xdr:rowOff>99848</xdr:rowOff>
    </xdr:to>
    <xdr:sp macro="" textlink="">
      <xdr:nvSpPr>
        <xdr:cNvPr id="12" name="Rectangle: Rounded Corners 11">
          <a:extLst>
            <a:ext uri="{FF2B5EF4-FFF2-40B4-BE49-F238E27FC236}">
              <a16:creationId xmlns:a16="http://schemas.microsoft.com/office/drawing/2014/main" id="{C9D10C5A-B34D-4C4F-AD15-FA759E7994BB}"/>
            </a:ext>
          </a:extLst>
        </xdr:cNvPr>
        <xdr:cNvSpPr/>
      </xdr:nvSpPr>
      <xdr:spPr>
        <a:xfrm rot="16200000">
          <a:off x="5816012" y="1330919"/>
          <a:ext cx="3520966" cy="1006271"/>
        </a:xfrm>
        <a:prstGeom prst="roundRect">
          <a:avLst>
            <a:gd name="adj" fmla="val 8334"/>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0</xdr:col>
      <xdr:colOff>141890</xdr:colOff>
      <xdr:row>4</xdr:row>
      <xdr:rowOff>42042</xdr:rowOff>
    </xdr:from>
    <xdr:to>
      <xdr:col>4</xdr:col>
      <xdr:colOff>478222</xdr:colOff>
      <xdr:row>13</xdr:row>
      <xdr:rowOff>84083</xdr:rowOff>
    </xdr:to>
    <xdr:sp macro="" textlink="">
      <xdr:nvSpPr>
        <xdr:cNvPr id="16" name="Rectangle: Rounded Corners 15">
          <a:extLst>
            <a:ext uri="{FF2B5EF4-FFF2-40B4-BE49-F238E27FC236}">
              <a16:creationId xmlns:a16="http://schemas.microsoft.com/office/drawing/2014/main" id="{82F398C7-B10F-4C31-9870-82EA3568D2F0}"/>
            </a:ext>
          </a:extLst>
        </xdr:cNvPr>
        <xdr:cNvSpPr/>
      </xdr:nvSpPr>
      <xdr:spPr>
        <a:xfrm>
          <a:off x="141890" y="777766"/>
          <a:ext cx="2774732" cy="1697420"/>
        </a:xfrm>
        <a:prstGeom prst="roundRect">
          <a:avLst>
            <a:gd name="adj" fmla="val 75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7</xdr:col>
      <xdr:colOff>533400</xdr:colOff>
      <xdr:row>0</xdr:row>
      <xdr:rowOff>40342</xdr:rowOff>
    </xdr:from>
    <xdr:to>
      <xdr:col>9</xdr:col>
      <xdr:colOff>367554</xdr:colOff>
      <xdr:row>3</xdr:row>
      <xdr:rowOff>67237</xdr:rowOff>
    </xdr:to>
    <xdr:sp macro="" textlink="">
      <xdr:nvSpPr>
        <xdr:cNvPr id="17" name="Rectangle: Rounded Corners 16">
          <a:extLst>
            <a:ext uri="{FF2B5EF4-FFF2-40B4-BE49-F238E27FC236}">
              <a16:creationId xmlns:a16="http://schemas.microsoft.com/office/drawing/2014/main" id="{DEA1ADF7-DC9F-4A0A-A649-B1BAEEA0BDEC}"/>
            </a:ext>
          </a:extLst>
        </xdr:cNvPr>
        <xdr:cNvSpPr/>
      </xdr:nvSpPr>
      <xdr:spPr>
        <a:xfrm>
          <a:off x="4800600" y="40342"/>
          <a:ext cx="1053354" cy="578224"/>
        </a:xfrm>
        <a:prstGeom prst="roundRect">
          <a:avLst>
            <a:gd name="adj" fmla="val 9382"/>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0</xdr:col>
      <xdr:colOff>161829</xdr:colOff>
      <xdr:row>14</xdr:row>
      <xdr:rowOff>1260</xdr:rowOff>
    </xdr:from>
    <xdr:to>
      <xdr:col>6</xdr:col>
      <xdr:colOff>96973</xdr:colOff>
      <xdr:row>19</xdr:row>
      <xdr:rowOff>63061</xdr:rowOff>
    </xdr:to>
    <xdr:sp macro="" textlink="">
      <xdr:nvSpPr>
        <xdr:cNvPr id="19" name="Rectangle: Rounded Corners 18">
          <a:extLst>
            <a:ext uri="{FF2B5EF4-FFF2-40B4-BE49-F238E27FC236}">
              <a16:creationId xmlns:a16="http://schemas.microsoft.com/office/drawing/2014/main" id="{5BE1F315-682A-4709-8BBB-3CDA55B0079F}"/>
            </a:ext>
          </a:extLst>
        </xdr:cNvPr>
        <xdr:cNvSpPr/>
      </xdr:nvSpPr>
      <xdr:spPr>
        <a:xfrm>
          <a:off x="161829" y="2575034"/>
          <a:ext cx="3592744" cy="982717"/>
        </a:xfrm>
        <a:prstGeom prst="roundRect">
          <a:avLst>
            <a:gd name="adj" fmla="val 6846"/>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9</xdr:col>
      <xdr:colOff>412377</xdr:colOff>
      <xdr:row>0</xdr:row>
      <xdr:rowOff>58270</xdr:rowOff>
    </xdr:from>
    <xdr:to>
      <xdr:col>11</xdr:col>
      <xdr:colOff>246531</xdr:colOff>
      <xdr:row>3</xdr:row>
      <xdr:rowOff>85165</xdr:rowOff>
    </xdr:to>
    <xdr:sp macro="" textlink="">
      <xdr:nvSpPr>
        <xdr:cNvPr id="23" name="Rectangle: Rounded Corners 22">
          <a:extLst>
            <a:ext uri="{FF2B5EF4-FFF2-40B4-BE49-F238E27FC236}">
              <a16:creationId xmlns:a16="http://schemas.microsoft.com/office/drawing/2014/main" id="{7A0FD932-52E5-4FC3-9A71-6320318F685A}"/>
            </a:ext>
          </a:extLst>
        </xdr:cNvPr>
        <xdr:cNvSpPr/>
      </xdr:nvSpPr>
      <xdr:spPr>
        <a:xfrm>
          <a:off x="5898777" y="58270"/>
          <a:ext cx="1053354" cy="578224"/>
        </a:xfrm>
        <a:prstGeom prst="roundRect">
          <a:avLst>
            <a:gd name="adj" fmla="val 9382"/>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0</xdr:col>
      <xdr:colOff>121024</xdr:colOff>
      <xdr:row>0</xdr:row>
      <xdr:rowOff>58270</xdr:rowOff>
    </xdr:from>
    <xdr:to>
      <xdr:col>5</xdr:col>
      <xdr:colOff>555812</xdr:colOff>
      <xdr:row>3</xdr:row>
      <xdr:rowOff>147917</xdr:rowOff>
    </xdr:to>
    <xdr:sp macro="" textlink="">
      <xdr:nvSpPr>
        <xdr:cNvPr id="26" name="Rectangle: Rounded Corners 25">
          <a:extLst>
            <a:ext uri="{FF2B5EF4-FFF2-40B4-BE49-F238E27FC236}">
              <a16:creationId xmlns:a16="http://schemas.microsoft.com/office/drawing/2014/main" id="{786CF5D6-ED62-42B1-901B-A9B74F231028}"/>
            </a:ext>
          </a:extLst>
        </xdr:cNvPr>
        <xdr:cNvSpPr/>
      </xdr:nvSpPr>
      <xdr:spPr>
        <a:xfrm>
          <a:off x="121024" y="58270"/>
          <a:ext cx="3482788" cy="640976"/>
        </a:xfrm>
        <a:prstGeom prst="roundRect">
          <a:avLst>
            <a:gd name="adj" fmla="val 24886"/>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100" baseline="0"/>
            <a:t>                   </a:t>
          </a:r>
          <a:endParaRPr lang="en-GB" sz="1100" b="1">
            <a:latin typeface="Cambria" panose="02040503050406030204" pitchFamily="18" charset="0"/>
            <a:ea typeface="Cambria" panose="02040503050406030204" pitchFamily="18" charset="0"/>
          </a:endParaRPr>
        </a:p>
      </xdr:txBody>
    </xdr:sp>
    <xdr:clientData/>
  </xdr:twoCellAnchor>
  <xdr:twoCellAnchor editAs="absolute">
    <xdr:from>
      <xdr:col>4</xdr:col>
      <xdr:colOff>586208</xdr:colOff>
      <xdr:row>4</xdr:row>
      <xdr:rowOff>31424</xdr:rowOff>
    </xdr:from>
    <xdr:to>
      <xdr:col>8</xdr:col>
      <xdr:colOff>246814</xdr:colOff>
      <xdr:row>13</xdr:row>
      <xdr:rowOff>110252</xdr:rowOff>
    </xdr:to>
    <xdr:sp macro="" textlink="">
      <xdr:nvSpPr>
        <xdr:cNvPr id="27" name="Rectangle: Rounded Corners 26">
          <a:extLst>
            <a:ext uri="{FF2B5EF4-FFF2-40B4-BE49-F238E27FC236}">
              <a16:creationId xmlns:a16="http://schemas.microsoft.com/office/drawing/2014/main" id="{BDFB4718-BA37-48C4-B468-5AF6DBA4C755}"/>
            </a:ext>
          </a:extLst>
        </xdr:cNvPr>
        <xdr:cNvSpPr/>
      </xdr:nvSpPr>
      <xdr:spPr>
        <a:xfrm>
          <a:off x="3028783" y="762109"/>
          <a:ext cx="2103182" cy="1722869"/>
        </a:xfrm>
        <a:prstGeom prst="roundRect">
          <a:avLst>
            <a:gd name="adj" fmla="val 1030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0</xdr:col>
      <xdr:colOff>209930</xdr:colOff>
      <xdr:row>0</xdr:row>
      <xdr:rowOff>75461</xdr:rowOff>
    </xdr:from>
    <xdr:to>
      <xdr:col>1</xdr:col>
      <xdr:colOff>98611</xdr:colOff>
      <xdr:row>3</xdr:row>
      <xdr:rowOff>22413</xdr:rowOff>
    </xdr:to>
    <xdr:pic>
      <xdr:nvPicPr>
        <xdr:cNvPr id="30" name="Picture 29">
          <a:extLst>
            <a:ext uri="{FF2B5EF4-FFF2-40B4-BE49-F238E27FC236}">
              <a16:creationId xmlns:a16="http://schemas.microsoft.com/office/drawing/2014/main" id="{81090898-1C78-4926-A730-931C5713487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21" r="-6921"/>
        <a:stretch/>
      </xdr:blipFill>
      <xdr:spPr>
        <a:xfrm>
          <a:off x="209930" y="75461"/>
          <a:ext cx="498281" cy="498281"/>
        </a:xfrm>
        <a:prstGeom prst="rect">
          <a:avLst/>
        </a:prstGeom>
      </xdr:spPr>
    </xdr:pic>
    <xdr:clientData/>
  </xdr:twoCellAnchor>
  <xdr:twoCellAnchor>
    <xdr:from>
      <xdr:col>6</xdr:col>
      <xdr:colOff>421341</xdr:colOff>
      <xdr:row>1</xdr:row>
      <xdr:rowOff>138952</xdr:rowOff>
    </xdr:from>
    <xdr:to>
      <xdr:col>7</xdr:col>
      <xdr:colOff>470647</xdr:colOff>
      <xdr:row>2</xdr:row>
      <xdr:rowOff>894</xdr:rowOff>
    </xdr:to>
    <xdr:sp macro="" textlink="">
      <xdr:nvSpPr>
        <xdr:cNvPr id="31" name="TextBox 30">
          <a:extLst>
            <a:ext uri="{FF2B5EF4-FFF2-40B4-BE49-F238E27FC236}">
              <a16:creationId xmlns:a16="http://schemas.microsoft.com/office/drawing/2014/main" id="{E7100BFA-233D-4ED2-B627-EBEA459052B7}"/>
            </a:ext>
          </a:extLst>
        </xdr:cNvPr>
        <xdr:cNvSpPr txBox="1"/>
      </xdr:nvSpPr>
      <xdr:spPr>
        <a:xfrm flipV="1">
          <a:off x="4078941" y="322728"/>
          <a:ext cx="658906" cy="45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900">
            <a:latin typeface="Cambria" panose="02040503050406030204" pitchFamily="18" charset="0"/>
            <a:ea typeface="Cambria" panose="02040503050406030204" pitchFamily="18" charset="0"/>
          </a:endParaRPr>
        </a:p>
      </xdr:txBody>
    </xdr:sp>
    <xdr:clientData/>
  </xdr:twoCellAnchor>
  <xdr:twoCellAnchor>
    <xdr:from>
      <xdr:col>1</xdr:col>
      <xdr:colOff>215153</xdr:colOff>
      <xdr:row>0</xdr:row>
      <xdr:rowOff>98612</xdr:rowOff>
    </xdr:from>
    <xdr:to>
      <xdr:col>5</xdr:col>
      <xdr:colOff>416859</xdr:colOff>
      <xdr:row>2</xdr:row>
      <xdr:rowOff>4482</xdr:rowOff>
    </xdr:to>
    <xdr:sp macro="" textlink="">
      <xdr:nvSpPr>
        <xdr:cNvPr id="41" name="TextBox 40">
          <a:extLst>
            <a:ext uri="{FF2B5EF4-FFF2-40B4-BE49-F238E27FC236}">
              <a16:creationId xmlns:a16="http://schemas.microsoft.com/office/drawing/2014/main" id="{73712AF0-59C0-4364-9442-4A67BD0C34B0}"/>
            </a:ext>
          </a:extLst>
        </xdr:cNvPr>
        <xdr:cNvSpPr txBox="1"/>
      </xdr:nvSpPr>
      <xdr:spPr>
        <a:xfrm>
          <a:off x="824753" y="98612"/>
          <a:ext cx="2640106" cy="27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mbria" panose="02040503050406030204" pitchFamily="18" charset="0"/>
              <a:ea typeface="Cambria" panose="02040503050406030204" pitchFamily="18" charset="0"/>
            </a:rPr>
            <a:t>Hospital Emergency Room</a:t>
          </a:r>
        </a:p>
      </xdr:txBody>
    </xdr:sp>
    <xdr:clientData/>
  </xdr:twoCellAnchor>
  <xdr:twoCellAnchor editAs="absolute">
    <xdr:from>
      <xdr:col>6</xdr:col>
      <xdr:colOff>53788</xdr:colOff>
      <xdr:row>0</xdr:row>
      <xdr:rowOff>71717</xdr:rowOff>
    </xdr:from>
    <xdr:to>
      <xdr:col>7</xdr:col>
      <xdr:colOff>497542</xdr:colOff>
      <xdr:row>3</xdr:row>
      <xdr:rowOff>98612</xdr:rowOff>
    </xdr:to>
    <xdr:sp macro="" textlink="">
      <xdr:nvSpPr>
        <xdr:cNvPr id="43" name="Rectangle: Rounded Corners 42">
          <a:extLst>
            <a:ext uri="{FF2B5EF4-FFF2-40B4-BE49-F238E27FC236}">
              <a16:creationId xmlns:a16="http://schemas.microsoft.com/office/drawing/2014/main" id="{A54FAF2C-FE19-4DF6-8148-3F4C06CC0788}"/>
            </a:ext>
          </a:extLst>
        </xdr:cNvPr>
        <xdr:cNvSpPr/>
      </xdr:nvSpPr>
      <xdr:spPr>
        <a:xfrm>
          <a:off x="3711388" y="71717"/>
          <a:ext cx="1053354" cy="578224"/>
        </a:xfrm>
        <a:prstGeom prst="roundRect">
          <a:avLst>
            <a:gd name="adj" fmla="val 9382"/>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2</xdr:col>
      <xdr:colOff>174811</xdr:colOff>
      <xdr:row>1</xdr:row>
      <xdr:rowOff>161365</xdr:rowOff>
    </xdr:from>
    <xdr:to>
      <xdr:col>4</xdr:col>
      <xdr:colOff>129988</xdr:colOff>
      <xdr:row>2</xdr:row>
      <xdr:rowOff>174812</xdr:rowOff>
    </xdr:to>
    <xdr:sp macro="" textlink="">
      <xdr:nvSpPr>
        <xdr:cNvPr id="46" name="TextBox 45">
          <a:extLst>
            <a:ext uri="{FF2B5EF4-FFF2-40B4-BE49-F238E27FC236}">
              <a16:creationId xmlns:a16="http://schemas.microsoft.com/office/drawing/2014/main" id="{E1D89E11-3173-406D-A593-C5DBE54365A2}"/>
            </a:ext>
          </a:extLst>
        </xdr:cNvPr>
        <xdr:cNvSpPr txBox="1"/>
      </xdr:nvSpPr>
      <xdr:spPr>
        <a:xfrm>
          <a:off x="1394011" y="345141"/>
          <a:ext cx="1174377" cy="1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t>Monthly Report</a:t>
          </a:r>
        </a:p>
      </xdr:txBody>
    </xdr:sp>
    <xdr:clientData/>
  </xdr:twoCellAnchor>
  <xdr:twoCellAnchor editAs="absolute">
    <xdr:from>
      <xdr:col>6</xdr:col>
      <xdr:colOff>1</xdr:colOff>
      <xdr:row>1</xdr:row>
      <xdr:rowOff>94129</xdr:rowOff>
    </xdr:from>
    <xdr:to>
      <xdr:col>8</xdr:col>
      <xdr:colOff>4483</xdr:colOff>
      <xdr:row>3</xdr:row>
      <xdr:rowOff>17930</xdr:rowOff>
    </xdr:to>
    <xdr:sp macro="" textlink="">
      <xdr:nvSpPr>
        <xdr:cNvPr id="49" name="TextBox 48">
          <a:extLst>
            <a:ext uri="{FF2B5EF4-FFF2-40B4-BE49-F238E27FC236}">
              <a16:creationId xmlns:a16="http://schemas.microsoft.com/office/drawing/2014/main" id="{641E697C-0C28-47BD-AD6A-56B93BB923B6}"/>
            </a:ext>
          </a:extLst>
        </xdr:cNvPr>
        <xdr:cNvSpPr txBox="1"/>
      </xdr:nvSpPr>
      <xdr:spPr>
        <a:xfrm>
          <a:off x="3657601" y="277905"/>
          <a:ext cx="1223682" cy="29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b="1">
              <a:latin typeface="Cambria" panose="02040503050406030204" pitchFamily="18" charset="0"/>
              <a:ea typeface="Cambria" panose="02040503050406030204" pitchFamily="18" charset="0"/>
            </a:rPr>
            <a:t>No.</a:t>
          </a:r>
          <a:r>
            <a:rPr lang="en-GB" sz="800" b="1" baseline="0">
              <a:latin typeface="Cambria" panose="02040503050406030204" pitchFamily="18" charset="0"/>
              <a:ea typeface="Cambria" panose="02040503050406030204" pitchFamily="18" charset="0"/>
            </a:rPr>
            <a:t> of Patient</a:t>
          </a:r>
          <a:endParaRPr lang="en-GB" sz="800" b="1">
            <a:latin typeface="Cambria" panose="02040503050406030204" pitchFamily="18" charset="0"/>
            <a:ea typeface="Cambria" panose="02040503050406030204" pitchFamily="18" charset="0"/>
          </a:endParaRPr>
        </a:p>
      </xdr:txBody>
    </xdr:sp>
    <xdr:clientData/>
  </xdr:twoCellAnchor>
  <xdr:twoCellAnchor editAs="absolute">
    <xdr:from>
      <xdr:col>7</xdr:col>
      <xdr:colOff>484094</xdr:colOff>
      <xdr:row>1</xdr:row>
      <xdr:rowOff>85164</xdr:rowOff>
    </xdr:from>
    <xdr:to>
      <xdr:col>9</xdr:col>
      <xdr:colOff>439271</xdr:colOff>
      <xdr:row>2</xdr:row>
      <xdr:rowOff>121022</xdr:rowOff>
    </xdr:to>
    <xdr:sp macro="" textlink="">
      <xdr:nvSpPr>
        <xdr:cNvPr id="50" name="TextBox 49">
          <a:extLst>
            <a:ext uri="{FF2B5EF4-FFF2-40B4-BE49-F238E27FC236}">
              <a16:creationId xmlns:a16="http://schemas.microsoft.com/office/drawing/2014/main" id="{CE5E7F5C-00C7-4DEA-8A2A-95691EFB9588}"/>
            </a:ext>
          </a:extLst>
        </xdr:cNvPr>
        <xdr:cNvSpPr txBox="1"/>
      </xdr:nvSpPr>
      <xdr:spPr>
        <a:xfrm>
          <a:off x="4751294" y="268940"/>
          <a:ext cx="1174377" cy="21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b="1">
              <a:latin typeface="Cambria" panose="02040503050406030204" pitchFamily="18" charset="0"/>
              <a:ea typeface="Cambria" panose="02040503050406030204" pitchFamily="18" charset="0"/>
            </a:rPr>
            <a:t>Avg.</a:t>
          </a:r>
          <a:r>
            <a:rPr lang="en-GB" sz="800" b="1" baseline="0">
              <a:latin typeface="Cambria" panose="02040503050406030204" pitchFamily="18" charset="0"/>
              <a:ea typeface="Cambria" panose="02040503050406030204" pitchFamily="18" charset="0"/>
            </a:rPr>
            <a:t> waiting Time</a:t>
          </a:r>
          <a:endParaRPr lang="en-GB" sz="800" b="1">
            <a:latin typeface="Cambria" panose="02040503050406030204" pitchFamily="18" charset="0"/>
            <a:ea typeface="Cambria" panose="02040503050406030204" pitchFamily="18" charset="0"/>
          </a:endParaRPr>
        </a:p>
      </xdr:txBody>
    </xdr:sp>
    <xdr:clientData/>
  </xdr:twoCellAnchor>
  <xdr:twoCellAnchor editAs="absolute">
    <xdr:from>
      <xdr:col>9</xdr:col>
      <xdr:colOff>313764</xdr:colOff>
      <xdr:row>1</xdr:row>
      <xdr:rowOff>80681</xdr:rowOff>
    </xdr:from>
    <xdr:to>
      <xdr:col>11</xdr:col>
      <xdr:colOff>389965</xdr:colOff>
      <xdr:row>2</xdr:row>
      <xdr:rowOff>116540</xdr:rowOff>
    </xdr:to>
    <xdr:sp macro="" textlink="">
      <xdr:nvSpPr>
        <xdr:cNvPr id="51" name="TextBox 50">
          <a:extLst>
            <a:ext uri="{FF2B5EF4-FFF2-40B4-BE49-F238E27FC236}">
              <a16:creationId xmlns:a16="http://schemas.microsoft.com/office/drawing/2014/main" id="{BAC688C1-CA15-4875-A17F-F96B6B6E7002}"/>
            </a:ext>
          </a:extLst>
        </xdr:cNvPr>
        <xdr:cNvSpPr txBox="1"/>
      </xdr:nvSpPr>
      <xdr:spPr>
        <a:xfrm>
          <a:off x="5800164" y="264457"/>
          <a:ext cx="1295401" cy="219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700" b="1">
              <a:latin typeface="Cambria" panose="02040503050406030204" pitchFamily="18" charset="0"/>
              <a:ea typeface="Cambria" panose="02040503050406030204" pitchFamily="18" charset="0"/>
            </a:rPr>
            <a:t>Avg. Satisfaction Score</a:t>
          </a:r>
        </a:p>
      </xdr:txBody>
    </xdr:sp>
    <xdr:clientData/>
  </xdr:twoCellAnchor>
  <xdr:twoCellAnchor editAs="absolute">
    <xdr:from>
      <xdr:col>6</xdr:col>
      <xdr:colOff>94130</xdr:colOff>
      <xdr:row>2</xdr:row>
      <xdr:rowOff>26894</xdr:rowOff>
    </xdr:from>
    <xdr:to>
      <xdr:col>7</xdr:col>
      <xdr:colOff>537883</xdr:colOff>
      <xdr:row>3</xdr:row>
      <xdr:rowOff>80682</xdr:rowOff>
    </xdr:to>
    <xdr:sp macro="" textlink="'pivot table'!A9">
      <xdr:nvSpPr>
        <xdr:cNvPr id="52" name="TextBox 51">
          <a:extLst>
            <a:ext uri="{FF2B5EF4-FFF2-40B4-BE49-F238E27FC236}">
              <a16:creationId xmlns:a16="http://schemas.microsoft.com/office/drawing/2014/main" id="{3E3BCF22-9FFE-428C-BAC7-FE5852BCE8D5}"/>
            </a:ext>
          </a:extLst>
        </xdr:cNvPr>
        <xdr:cNvSpPr txBox="1"/>
      </xdr:nvSpPr>
      <xdr:spPr>
        <a:xfrm>
          <a:off x="3751730" y="394447"/>
          <a:ext cx="1053353"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151984-748A-40A2-82ED-DD1000FF00C2}" type="TxLink">
            <a:rPr lang="en-US" sz="1100" b="1" i="0" u="none" strike="noStrike">
              <a:solidFill>
                <a:srgbClr val="000000"/>
              </a:solidFill>
              <a:latin typeface="Calibri"/>
              <a:ea typeface="Calibri"/>
              <a:cs typeface="Calibri"/>
            </a:rPr>
            <a:pPr algn="ctr"/>
            <a:t>464</a:t>
          </a:fld>
          <a:endParaRPr lang="en-US" sz="1100" b="1"/>
        </a:p>
      </xdr:txBody>
    </xdr:sp>
    <xdr:clientData/>
  </xdr:twoCellAnchor>
  <xdr:twoCellAnchor editAs="absolute">
    <xdr:from>
      <xdr:col>8</xdr:col>
      <xdr:colOff>237564</xdr:colOff>
      <xdr:row>2</xdr:row>
      <xdr:rowOff>26895</xdr:rowOff>
    </xdr:from>
    <xdr:to>
      <xdr:col>9</xdr:col>
      <xdr:colOff>309282</xdr:colOff>
      <xdr:row>3</xdr:row>
      <xdr:rowOff>67237</xdr:rowOff>
    </xdr:to>
    <xdr:sp macro="" textlink="'pivot table'!A15">
      <xdr:nvSpPr>
        <xdr:cNvPr id="55" name="TextBox 54">
          <a:extLst>
            <a:ext uri="{FF2B5EF4-FFF2-40B4-BE49-F238E27FC236}">
              <a16:creationId xmlns:a16="http://schemas.microsoft.com/office/drawing/2014/main" id="{37957FE9-37AF-4B01-8B4F-45F7231E0B24}"/>
            </a:ext>
          </a:extLst>
        </xdr:cNvPr>
        <xdr:cNvSpPr txBox="1"/>
      </xdr:nvSpPr>
      <xdr:spPr>
        <a:xfrm>
          <a:off x="5114364" y="394448"/>
          <a:ext cx="681318"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C9BBCB-25F5-4ED6-AFBA-8586DE2F8FEC}" type="TxLink">
            <a:rPr lang="en-US" sz="1100" b="1" i="0" u="none" strike="noStrike">
              <a:solidFill>
                <a:srgbClr val="000000"/>
              </a:solidFill>
              <a:latin typeface="Calibri"/>
              <a:ea typeface="Calibri"/>
              <a:cs typeface="Calibri"/>
            </a:rPr>
            <a:pPr/>
            <a:t>35.19</a:t>
          </a:fld>
          <a:endParaRPr lang="en-GB" sz="1100" b="1"/>
        </a:p>
      </xdr:txBody>
    </xdr:sp>
    <xdr:clientData/>
  </xdr:twoCellAnchor>
  <xdr:twoCellAnchor editAs="absolute">
    <xdr:from>
      <xdr:col>10</xdr:col>
      <xdr:colOff>116539</xdr:colOff>
      <xdr:row>2</xdr:row>
      <xdr:rowOff>13448</xdr:rowOff>
    </xdr:from>
    <xdr:to>
      <xdr:col>11</xdr:col>
      <xdr:colOff>224115</xdr:colOff>
      <xdr:row>3</xdr:row>
      <xdr:rowOff>58272</xdr:rowOff>
    </xdr:to>
    <xdr:sp macro="" textlink="'pivot table'!A12">
      <xdr:nvSpPr>
        <xdr:cNvPr id="56" name="TextBox 55">
          <a:extLst>
            <a:ext uri="{FF2B5EF4-FFF2-40B4-BE49-F238E27FC236}">
              <a16:creationId xmlns:a16="http://schemas.microsoft.com/office/drawing/2014/main" id="{6C32479A-8660-4458-8BCF-F08304F4AF6F}"/>
            </a:ext>
          </a:extLst>
        </xdr:cNvPr>
        <xdr:cNvSpPr txBox="1"/>
      </xdr:nvSpPr>
      <xdr:spPr>
        <a:xfrm>
          <a:off x="6212539" y="381001"/>
          <a:ext cx="71717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F5C66-2978-4629-BEDC-DCF03D643627}" type="TxLink">
            <a:rPr lang="en-US" sz="1100" b="1" i="0" u="none" strike="noStrike">
              <a:solidFill>
                <a:srgbClr val="000000"/>
              </a:solidFill>
              <a:latin typeface="Calibri"/>
              <a:ea typeface="Calibri"/>
              <a:cs typeface="Calibri"/>
            </a:rPr>
            <a:pPr/>
            <a:t>5.09</a:t>
          </a:fld>
          <a:endParaRPr lang="en-GB" sz="1100" b="1"/>
        </a:p>
      </xdr:txBody>
    </xdr:sp>
    <xdr:clientData/>
  </xdr:twoCellAnchor>
  <xdr:twoCellAnchor editAs="absolute">
    <xdr:from>
      <xdr:col>10</xdr:col>
      <xdr:colOff>268941</xdr:colOff>
      <xdr:row>0</xdr:row>
      <xdr:rowOff>84522</xdr:rowOff>
    </xdr:from>
    <xdr:to>
      <xdr:col>10</xdr:col>
      <xdr:colOff>388383</xdr:colOff>
      <xdr:row>1</xdr:row>
      <xdr:rowOff>94129</xdr:rowOff>
    </xdr:to>
    <xdr:pic>
      <xdr:nvPicPr>
        <xdr:cNvPr id="58" name="Picture 57">
          <a:extLst>
            <a:ext uri="{FF2B5EF4-FFF2-40B4-BE49-F238E27FC236}">
              <a16:creationId xmlns:a16="http://schemas.microsoft.com/office/drawing/2014/main" id="{3B6A898B-CCCC-4D1C-BFDF-C1BB78D6A8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64941" y="84522"/>
          <a:ext cx="119442" cy="193383"/>
        </a:xfrm>
        <a:prstGeom prst="rect">
          <a:avLst/>
        </a:prstGeom>
      </xdr:spPr>
    </xdr:pic>
    <xdr:clientData/>
  </xdr:twoCellAnchor>
  <xdr:twoCellAnchor editAs="absolute">
    <xdr:from>
      <xdr:col>8</xdr:col>
      <xdr:colOff>274913</xdr:colOff>
      <xdr:row>0</xdr:row>
      <xdr:rowOff>44823</xdr:rowOff>
    </xdr:from>
    <xdr:to>
      <xdr:col>9</xdr:col>
      <xdr:colOff>47808</xdr:colOff>
      <xdr:row>1</xdr:row>
      <xdr:rowOff>147918</xdr:rowOff>
    </xdr:to>
    <xdr:pic>
      <xdr:nvPicPr>
        <xdr:cNvPr id="60" name="Picture 59">
          <a:extLst>
            <a:ext uri="{FF2B5EF4-FFF2-40B4-BE49-F238E27FC236}">
              <a16:creationId xmlns:a16="http://schemas.microsoft.com/office/drawing/2014/main" id="{03A3FA79-DBDF-4AC0-B75D-93A63BAA3E0C}"/>
            </a:ext>
          </a:extLst>
        </xdr:cNvPr>
        <xdr:cNvPicPr>
          <a:picLocks noChangeAspect="1"/>
        </xdr:cNvPicPr>
      </xdr:nvPicPr>
      <xdr:blipFill>
        <a:blip xmlns:r="http://schemas.openxmlformats.org/officeDocument/2006/relationships" r:embed="rId3" cstate="print">
          <a:alphaModFix/>
          <a:extLst>
            <a:ext uri="{28A0092B-C50C-407E-A947-70E740481C1C}">
              <a14:useLocalDpi xmlns:a14="http://schemas.microsoft.com/office/drawing/2010/main" val="0"/>
            </a:ext>
          </a:extLst>
        </a:blip>
        <a:stretch>
          <a:fillRect/>
        </a:stretch>
      </xdr:blipFill>
      <xdr:spPr>
        <a:xfrm flipH="1">
          <a:off x="5151713" y="44823"/>
          <a:ext cx="382495" cy="286871"/>
        </a:xfrm>
        <a:prstGeom prst="rect">
          <a:avLst/>
        </a:prstGeom>
      </xdr:spPr>
    </xdr:pic>
    <xdr:clientData/>
  </xdr:twoCellAnchor>
  <xdr:twoCellAnchor editAs="absolute">
    <xdr:from>
      <xdr:col>6</xdr:col>
      <xdr:colOff>510989</xdr:colOff>
      <xdr:row>0</xdr:row>
      <xdr:rowOff>103094</xdr:rowOff>
    </xdr:from>
    <xdr:to>
      <xdr:col>7</xdr:col>
      <xdr:colOff>94130</xdr:colOff>
      <xdr:row>1</xdr:row>
      <xdr:rowOff>112059</xdr:rowOff>
    </xdr:to>
    <xdr:pic>
      <xdr:nvPicPr>
        <xdr:cNvPr id="63" name="Picture 62">
          <a:extLst>
            <a:ext uri="{FF2B5EF4-FFF2-40B4-BE49-F238E27FC236}">
              <a16:creationId xmlns:a16="http://schemas.microsoft.com/office/drawing/2014/main" id="{9D87BF89-7F9B-44A0-A909-8EED5F5F8839}"/>
            </a:ext>
          </a:extLst>
        </xdr:cNvPr>
        <xdr:cNvPicPr>
          <a:picLocks noChangeAspect="1"/>
        </xdr:cNvPicPr>
      </xdr:nvPicPr>
      <xdr:blipFill>
        <a:blip xmlns:r="http://schemas.openxmlformats.org/officeDocument/2006/relationships" r:embed="rId4"/>
        <a:stretch>
          <a:fillRect/>
        </a:stretch>
      </xdr:blipFill>
      <xdr:spPr>
        <a:xfrm>
          <a:off x="4168589" y="103094"/>
          <a:ext cx="192741" cy="192741"/>
        </a:xfrm>
        <a:prstGeom prst="rect">
          <a:avLst/>
        </a:prstGeom>
      </xdr:spPr>
    </xdr:pic>
    <xdr:clientData/>
  </xdr:twoCellAnchor>
  <xdr:twoCellAnchor editAs="absolute">
    <xdr:from>
      <xdr:col>11</xdr:col>
      <xdr:colOff>466459</xdr:colOff>
      <xdr:row>0</xdr:row>
      <xdr:rowOff>110360</xdr:rowOff>
    </xdr:from>
    <xdr:to>
      <xdr:col>13</xdr:col>
      <xdr:colOff>120868</xdr:colOff>
      <xdr:row>19</xdr:row>
      <xdr:rowOff>63062</xdr:rowOff>
    </xdr:to>
    <mc:AlternateContent xmlns:mc="http://schemas.openxmlformats.org/markup-compatibility/2006" xmlns:a14="http://schemas.microsoft.com/office/drawing/2010/main">
      <mc:Choice Requires="a14">
        <xdr:graphicFrame macro="">
          <xdr:nvGraphicFramePr>
            <xdr:cNvPr id="67" name="Date (Month) 1">
              <a:extLst>
                <a:ext uri="{FF2B5EF4-FFF2-40B4-BE49-F238E27FC236}">
                  <a16:creationId xmlns:a16="http://schemas.microsoft.com/office/drawing/2014/main" id="{D95548B7-9968-465C-911E-641FA5DF1B1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183541" y="110360"/>
              <a:ext cx="875697" cy="34234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absolute">
        <xdr:from>
          <xdr:col>0</xdr:col>
          <xdr:colOff>241737</xdr:colOff>
          <xdr:row>14</xdr:row>
          <xdr:rowOff>73571</xdr:rowOff>
        </xdr:from>
        <xdr:to>
          <xdr:col>6</xdr:col>
          <xdr:colOff>21020</xdr:colOff>
          <xdr:row>19</xdr:row>
          <xdr:rowOff>5254</xdr:rowOff>
        </xdr:to>
        <xdr:pic>
          <xdr:nvPicPr>
            <xdr:cNvPr id="78" name="Picture 77">
              <a:extLst>
                <a:ext uri="{FF2B5EF4-FFF2-40B4-BE49-F238E27FC236}">
                  <a16:creationId xmlns:a16="http://schemas.microsoft.com/office/drawing/2014/main" id="{53891F84-71A2-4FC9-BC9B-85157998B973}"/>
                </a:ext>
              </a:extLst>
            </xdr:cNvPr>
            <xdr:cNvPicPr>
              <a:picLocks noChangeAspect="1" noChangeArrowheads="1"/>
              <a:extLst>
                <a:ext uri="{84589F7E-364E-4C9E-8A38-B11213B215E9}">
                  <a14:cameraTool cellRange="'pivot table'!$A$24:$D$26" spid="_x0000_s2075"/>
                </a:ext>
              </a:extLst>
            </xdr:cNvPicPr>
          </xdr:nvPicPr>
          <xdr:blipFill>
            <a:blip xmlns:r="http://schemas.openxmlformats.org/officeDocument/2006/relationships" r:embed="rId5"/>
            <a:srcRect/>
            <a:stretch>
              <a:fillRect/>
            </a:stretch>
          </xdr:blipFill>
          <xdr:spPr bwMode="auto">
            <a:xfrm>
              <a:off x="241737" y="2648605"/>
              <a:ext cx="3436883" cy="851339"/>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xdr:spPr>
        </xdr:pic>
        <xdr:clientData/>
      </xdr:twoCellAnchor>
    </mc:Choice>
    <mc:Fallback/>
  </mc:AlternateContent>
  <xdr:twoCellAnchor>
    <xdr:from>
      <xdr:col>1</xdr:col>
      <xdr:colOff>162911</xdr:colOff>
      <xdr:row>11</xdr:row>
      <xdr:rowOff>147144</xdr:rowOff>
    </xdr:from>
    <xdr:to>
      <xdr:col>3</xdr:col>
      <xdr:colOff>168166</xdr:colOff>
      <xdr:row>13</xdr:row>
      <xdr:rowOff>26275</xdr:rowOff>
    </xdr:to>
    <xdr:sp macro="" textlink="">
      <xdr:nvSpPr>
        <xdr:cNvPr id="64" name="TextBox 63">
          <a:extLst>
            <a:ext uri="{FF2B5EF4-FFF2-40B4-BE49-F238E27FC236}">
              <a16:creationId xmlns:a16="http://schemas.microsoft.com/office/drawing/2014/main" id="{C8AA9140-A6A8-403D-A49F-699C94CE930C}"/>
            </a:ext>
          </a:extLst>
        </xdr:cNvPr>
        <xdr:cNvSpPr txBox="1"/>
      </xdr:nvSpPr>
      <xdr:spPr>
        <a:xfrm>
          <a:off x="772511" y="2170385"/>
          <a:ext cx="1224455" cy="24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Cambria" panose="02040503050406030204" pitchFamily="18" charset="0"/>
              <a:ea typeface="Cambria" panose="02040503050406030204" pitchFamily="18" charset="0"/>
            </a:rPr>
            <a:t>Patient</a:t>
          </a:r>
          <a:r>
            <a:rPr lang="en-GB" sz="1100" b="1" baseline="0">
              <a:latin typeface="Cambria" panose="02040503050406030204" pitchFamily="18" charset="0"/>
              <a:ea typeface="Cambria" panose="02040503050406030204" pitchFamily="18" charset="0"/>
            </a:rPr>
            <a:t> by race</a:t>
          </a:r>
          <a:endParaRPr lang="en-GB" sz="1100" b="1">
            <a:latin typeface="Cambria" panose="02040503050406030204" pitchFamily="18" charset="0"/>
            <a:ea typeface="Cambria" panose="02040503050406030204" pitchFamily="18" charset="0"/>
          </a:endParaRPr>
        </a:p>
      </xdr:txBody>
    </xdr:sp>
    <xdr:clientData/>
  </xdr:twoCellAnchor>
  <xdr:twoCellAnchor editAs="absolute">
    <xdr:from>
      <xdr:col>10</xdr:col>
      <xdr:colOff>594987</xdr:colOff>
      <xdr:row>20</xdr:row>
      <xdr:rowOff>32106</xdr:rowOff>
    </xdr:from>
    <xdr:to>
      <xdr:col>11</xdr:col>
      <xdr:colOff>251742</xdr:colOff>
      <xdr:row>22</xdr:row>
      <xdr:rowOff>78288</xdr:rowOff>
    </xdr:to>
    <xdr:graphicFrame macro="">
      <xdr:nvGraphicFramePr>
        <xdr:cNvPr id="86" name="Chart 85">
          <a:extLst>
            <a:ext uri="{FF2B5EF4-FFF2-40B4-BE49-F238E27FC236}">
              <a16:creationId xmlns:a16="http://schemas.microsoft.com/office/drawing/2014/main" id="{6373BF1A-441F-47FE-94FC-72A3D27D5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5255</xdr:colOff>
      <xdr:row>3</xdr:row>
      <xdr:rowOff>136635</xdr:rowOff>
    </xdr:from>
    <xdr:to>
      <xdr:col>4</xdr:col>
      <xdr:colOff>404648</xdr:colOff>
      <xdr:row>12</xdr:row>
      <xdr:rowOff>178676</xdr:rowOff>
    </xdr:to>
    <xdr:graphicFrame macro="">
      <xdr:nvGraphicFramePr>
        <xdr:cNvPr id="91" name="Chart 90">
          <a:extLst>
            <a:ext uri="{FF2B5EF4-FFF2-40B4-BE49-F238E27FC236}">
              <a16:creationId xmlns:a16="http://schemas.microsoft.com/office/drawing/2014/main" id="{EFFE4177-A7E4-4B2D-B5E3-EE5E85C24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6</xdr:col>
      <xdr:colOff>175183</xdr:colOff>
      <xdr:row>13</xdr:row>
      <xdr:rowOff>132179</xdr:rowOff>
    </xdr:from>
    <xdr:to>
      <xdr:col>9</xdr:col>
      <xdr:colOff>89266</xdr:colOff>
      <xdr:row>19</xdr:row>
      <xdr:rowOff>89373</xdr:rowOff>
    </xdr:to>
    <xdr:sp macro="" textlink="">
      <xdr:nvSpPr>
        <xdr:cNvPr id="95" name="Rectangle: Rounded Corners 94">
          <a:extLst>
            <a:ext uri="{FF2B5EF4-FFF2-40B4-BE49-F238E27FC236}">
              <a16:creationId xmlns:a16="http://schemas.microsoft.com/office/drawing/2014/main" id="{1EA8D6B7-20A6-48A5-BE50-B2874C78E49C}"/>
            </a:ext>
          </a:extLst>
        </xdr:cNvPr>
        <xdr:cNvSpPr/>
      </xdr:nvSpPr>
      <xdr:spPr>
        <a:xfrm>
          <a:off x="3839046" y="2506905"/>
          <a:ext cx="1746015" cy="1053221"/>
        </a:xfrm>
        <a:prstGeom prst="roundRect">
          <a:avLst>
            <a:gd name="adj" fmla="val 1384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407095</xdr:colOff>
      <xdr:row>19</xdr:row>
      <xdr:rowOff>26096</xdr:rowOff>
    </xdr:from>
    <xdr:to>
      <xdr:col>9</xdr:col>
      <xdr:colOff>16160</xdr:colOff>
      <xdr:row>21</xdr:row>
      <xdr:rowOff>173059</xdr:rowOff>
    </xdr:to>
    <xdr:graphicFrame macro="">
      <xdr:nvGraphicFramePr>
        <xdr:cNvPr id="96" name="Chart 95">
          <a:extLst>
            <a:ext uri="{FF2B5EF4-FFF2-40B4-BE49-F238E27FC236}">
              <a16:creationId xmlns:a16="http://schemas.microsoft.com/office/drawing/2014/main" id="{84781521-1CDE-4AEE-9293-2F57A3E1F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6</xdr:col>
      <xdr:colOff>264594</xdr:colOff>
      <xdr:row>18</xdr:row>
      <xdr:rowOff>764</xdr:rowOff>
    </xdr:from>
    <xdr:to>
      <xdr:col>9</xdr:col>
      <xdr:colOff>21022</xdr:colOff>
      <xdr:row>19</xdr:row>
      <xdr:rowOff>60714</xdr:rowOff>
    </xdr:to>
    <xdr:pic>
      <xdr:nvPicPr>
        <xdr:cNvPr id="97" name="Picture 96">
          <a:extLst>
            <a:ext uri="{FF2B5EF4-FFF2-40B4-BE49-F238E27FC236}">
              <a16:creationId xmlns:a16="http://schemas.microsoft.com/office/drawing/2014/main" id="{D70BCE04-7DD4-4BEE-A2BE-08E50BAB2812}"/>
            </a:ext>
          </a:extLst>
        </xdr:cNvPr>
        <xdr:cNvPicPr>
          <a:picLocks noChangeAspect="1"/>
        </xdr:cNvPicPr>
      </xdr:nvPicPr>
      <xdr:blipFill>
        <a:blip xmlns:r="http://schemas.openxmlformats.org/officeDocument/2006/relationships" r:embed="rId9"/>
        <a:stretch>
          <a:fillRect/>
        </a:stretch>
      </xdr:blipFill>
      <xdr:spPr>
        <a:xfrm>
          <a:off x="3922194" y="3311523"/>
          <a:ext cx="1585228" cy="243881"/>
        </a:xfrm>
        <a:prstGeom prst="rect">
          <a:avLst/>
        </a:prstGeom>
      </xdr:spPr>
    </xdr:pic>
    <xdr:clientData/>
  </xdr:twoCellAnchor>
  <xdr:twoCellAnchor editAs="absolute">
    <xdr:from>
      <xdr:col>9</xdr:col>
      <xdr:colOff>246993</xdr:colOff>
      <xdr:row>18</xdr:row>
      <xdr:rowOff>42040</xdr:rowOff>
    </xdr:from>
    <xdr:to>
      <xdr:col>11</xdr:col>
      <xdr:colOff>78828</xdr:colOff>
      <xdr:row>19</xdr:row>
      <xdr:rowOff>42040</xdr:rowOff>
    </xdr:to>
    <xdr:sp macro="" textlink="">
      <xdr:nvSpPr>
        <xdr:cNvPr id="84" name="TextBox 83">
          <a:extLst>
            <a:ext uri="{FF2B5EF4-FFF2-40B4-BE49-F238E27FC236}">
              <a16:creationId xmlns:a16="http://schemas.microsoft.com/office/drawing/2014/main" id="{4CC18064-015C-462B-B1E5-981DFAFCB843}"/>
            </a:ext>
          </a:extLst>
        </xdr:cNvPr>
        <xdr:cNvSpPr txBox="1"/>
      </xdr:nvSpPr>
      <xdr:spPr>
        <a:xfrm>
          <a:off x="5733393" y="3352799"/>
          <a:ext cx="1051035" cy="18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b="1">
              <a:latin typeface="Cambria" panose="02040503050406030204" pitchFamily="18" charset="0"/>
              <a:ea typeface="Cambria" panose="02040503050406030204" pitchFamily="18" charset="0"/>
            </a:rPr>
            <a:t>Admission Status</a:t>
          </a:r>
        </a:p>
      </xdr:txBody>
    </xdr:sp>
    <xdr:clientData/>
  </xdr:twoCellAnchor>
  <xdr:twoCellAnchor editAs="absolute">
    <xdr:from>
      <xdr:col>4</xdr:col>
      <xdr:colOff>567559</xdr:colOff>
      <xdr:row>3</xdr:row>
      <xdr:rowOff>105105</xdr:rowOff>
    </xdr:from>
    <xdr:to>
      <xdr:col>8</xdr:col>
      <xdr:colOff>252248</xdr:colOff>
      <xdr:row>13</xdr:row>
      <xdr:rowOff>136635</xdr:rowOff>
    </xdr:to>
    <xdr:graphicFrame macro="">
      <xdr:nvGraphicFramePr>
        <xdr:cNvPr id="102" name="Chart 101">
          <a:extLst>
            <a:ext uri="{FF2B5EF4-FFF2-40B4-BE49-F238E27FC236}">
              <a16:creationId xmlns:a16="http://schemas.microsoft.com/office/drawing/2014/main" id="{07DC1D29-59AA-4F50-9D54-808CE0ECE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8</xdr:col>
      <xdr:colOff>330706</xdr:colOff>
      <xdr:row>4</xdr:row>
      <xdr:rowOff>31993</xdr:rowOff>
    </xdr:from>
    <xdr:to>
      <xdr:col>11</xdr:col>
      <xdr:colOff>314785</xdr:colOff>
      <xdr:row>13</xdr:row>
      <xdr:rowOff>110359</xdr:rowOff>
    </xdr:to>
    <xdr:sp macro="" textlink="">
      <xdr:nvSpPr>
        <xdr:cNvPr id="103" name="Rectangle: Rounded Corners 102">
          <a:extLst>
            <a:ext uri="{FF2B5EF4-FFF2-40B4-BE49-F238E27FC236}">
              <a16:creationId xmlns:a16="http://schemas.microsoft.com/office/drawing/2014/main" id="{9593A157-0F1E-4C15-A66D-77CAFD9D3D8D}"/>
            </a:ext>
          </a:extLst>
        </xdr:cNvPr>
        <xdr:cNvSpPr/>
      </xdr:nvSpPr>
      <xdr:spPr>
        <a:xfrm>
          <a:off x="5207506" y="763513"/>
          <a:ext cx="1812879" cy="1724286"/>
        </a:xfrm>
        <a:prstGeom prst="roundRect">
          <a:avLst>
            <a:gd name="adj" fmla="val 15441"/>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100" baseline="0"/>
            <a:t>                   </a:t>
          </a:r>
          <a:endParaRPr lang="en-GB" sz="1100" b="1">
            <a:latin typeface="Cambria" panose="02040503050406030204" pitchFamily="18" charset="0"/>
            <a:ea typeface="Cambria" panose="02040503050406030204" pitchFamily="18" charset="0"/>
          </a:endParaRPr>
        </a:p>
      </xdr:txBody>
    </xdr:sp>
    <xdr:clientData/>
  </xdr:twoCellAnchor>
  <xdr:twoCellAnchor editAs="absolute">
    <xdr:from>
      <xdr:col>8</xdr:col>
      <xdr:colOff>569503</xdr:colOff>
      <xdr:row>11</xdr:row>
      <xdr:rowOff>152185</xdr:rowOff>
    </xdr:from>
    <xdr:to>
      <xdr:col>11</xdr:col>
      <xdr:colOff>74472</xdr:colOff>
      <xdr:row>13</xdr:row>
      <xdr:rowOff>78612</xdr:rowOff>
    </xdr:to>
    <xdr:sp macro="" textlink="">
      <xdr:nvSpPr>
        <xdr:cNvPr id="92" name="TextBox 91">
          <a:extLst>
            <a:ext uri="{FF2B5EF4-FFF2-40B4-BE49-F238E27FC236}">
              <a16:creationId xmlns:a16="http://schemas.microsoft.com/office/drawing/2014/main" id="{B9CC8056-14EC-4CD7-9085-B47B37D915AE}"/>
            </a:ext>
          </a:extLst>
        </xdr:cNvPr>
        <xdr:cNvSpPr txBox="1"/>
      </xdr:nvSpPr>
      <xdr:spPr>
        <a:xfrm>
          <a:off x="5454654" y="2161569"/>
          <a:ext cx="1336900" cy="291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Cambria" panose="02040503050406030204" pitchFamily="18" charset="0"/>
              <a:ea typeface="Cambria" panose="02040503050406030204" pitchFamily="18" charset="0"/>
            </a:rPr>
            <a:t>patient by gender</a:t>
          </a:r>
        </a:p>
      </xdr:txBody>
    </xdr:sp>
    <xdr:clientData/>
  </xdr:twoCellAnchor>
  <xdr:twoCellAnchor editAs="absolute">
    <xdr:from>
      <xdr:col>5</xdr:col>
      <xdr:colOff>378191</xdr:colOff>
      <xdr:row>12</xdr:row>
      <xdr:rowOff>27320</xdr:rowOff>
    </xdr:from>
    <xdr:to>
      <xdr:col>7</xdr:col>
      <xdr:colOff>483295</xdr:colOff>
      <xdr:row>13</xdr:row>
      <xdr:rowOff>78612</xdr:rowOff>
    </xdr:to>
    <xdr:sp macro="" textlink="">
      <xdr:nvSpPr>
        <xdr:cNvPr id="100" name="TextBox 99">
          <a:extLst>
            <a:ext uri="{FF2B5EF4-FFF2-40B4-BE49-F238E27FC236}">
              <a16:creationId xmlns:a16="http://schemas.microsoft.com/office/drawing/2014/main" id="{357F00A8-0DAD-4C5F-9900-4B7796B120CF}"/>
            </a:ext>
          </a:extLst>
        </xdr:cNvPr>
        <xdr:cNvSpPr txBox="1"/>
      </xdr:nvSpPr>
      <xdr:spPr>
        <a:xfrm>
          <a:off x="3431410" y="2219375"/>
          <a:ext cx="1326392" cy="23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Cambria" panose="02040503050406030204" pitchFamily="18" charset="0"/>
              <a:ea typeface="Cambria" panose="02040503050406030204" pitchFamily="18" charset="0"/>
            </a:rPr>
            <a:t>Patient by</a:t>
          </a:r>
          <a:r>
            <a:rPr lang="en-GB" sz="1100" b="1" baseline="0">
              <a:latin typeface="Cambria" panose="02040503050406030204" pitchFamily="18" charset="0"/>
              <a:ea typeface="Cambria" panose="02040503050406030204" pitchFamily="18" charset="0"/>
            </a:rPr>
            <a:t> Depart</a:t>
          </a:r>
          <a:endParaRPr lang="en-GB" sz="1100" b="1">
            <a:latin typeface="Cambria" panose="02040503050406030204" pitchFamily="18" charset="0"/>
            <a:ea typeface="Cambria" panose="02040503050406030204" pitchFamily="18" charset="0"/>
          </a:endParaRPr>
        </a:p>
      </xdr:txBody>
    </xdr:sp>
    <xdr:clientData/>
  </xdr:twoCellAnchor>
  <xdr:twoCellAnchor editAs="absolute">
    <xdr:from>
      <xdr:col>6</xdr:col>
      <xdr:colOff>205206</xdr:colOff>
      <xdr:row>13</xdr:row>
      <xdr:rowOff>120042</xdr:rowOff>
    </xdr:from>
    <xdr:to>
      <xdr:col>8</xdr:col>
      <xdr:colOff>568889</xdr:colOff>
      <xdr:row>18</xdr:row>
      <xdr:rowOff>57412</xdr:rowOff>
    </xdr:to>
    <xdr:graphicFrame macro="">
      <xdr:nvGraphicFramePr>
        <xdr:cNvPr id="40" name="Chart 39">
          <a:extLst>
            <a:ext uri="{FF2B5EF4-FFF2-40B4-BE49-F238E27FC236}">
              <a16:creationId xmlns:a16="http://schemas.microsoft.com/office/drawing/2014/main" id="{08923C04-9791-47A1-B94F-1033372C8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518359</xdr:colOff>
      <xdr:row>4</xdr:row>
      <xdr:rowOff>73177</xdr:rowOff>
    </xdr:from>
    <xdr:to>
      <xdr:col>8</xdr:col>
      <xdr:colOff>240083</xdr:colOff>
      <xdr:row>12</xdr:row>
      <xdr:rowOff>167014</xdr:rowOff>
    </xdr:to>
    <xdr:graphicFrame macro="">
      <xdr:nvGraphicFramePr>
        <xdr:cNvPr id="44" name="Chart 43">
          <a:extLst>
            <a:ext uri="{FF2B5EF4-FFF2-40B4-BE49-F238E27FC236}">
              <a16:creationId xmlns:a16="http://schemas.microsoft.com/office/drawing/2014/main" id="{DD3CAC60-659E-40A9-BCD7-CE4F8665A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8</xdr:col>
      <xdr:colOff>320040</xdr:colOff>
      <xdr:row>5</xdr:row>
      <xdr:rowOff>28577</xdr:rowOff>
    </xdr:from>
    <xdr:to>
      <xdr:col>11</xdr:col>
      <xdr:colOff>320040</xdr:colOff>
      <xdr:row>12</xdr:row>
      <xdr:rowOff>106680</xdr:rowOff>
    </xdr:to>
    <xdr:graphicFrame macro="">
      <xdr:nvGraphicFramePr>
        <xdr:cNvPr id="42" name="Chart 41">
          <a:extLst>
            <a:ext uri="{FF2B5EF4-FFF2-40B4-BE49-F238E27FC236}">
              <a16:creationId xmlns:a16="http://schemas.microsoft.com/office/drawing/2014/main" id="{C3DFC946-2B21-479D-B2F6-243E3CE5B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9</xdr:col>
      <xdr:colOff>14393</xdr:colOff>
      <xdr:row>13</xdr:row>
      <xdr:rowOff>72814</xdr:rowOff>
    </xdr:from>
    <xdr:to>
      <xdr:col>11</xdr:col>
      <xdr:colOff>287867</xdr:colOff>
      <xdr:row>18</xdr:row>
      <xdr:rowOff>160867</xdr:rowOff>
    </xdr:to>
    <xdr:graphicFrame macro="">
      <xdr:nvGraphicFramePr>
        <xdr:cNvPr id="54" name="Chart 53">
          <a:extLst>
            <a:ext uri="{FF2B5EF4-FFF2-40B4-BE49-F238E27FC236}">
              <a16:creationId xmlns:a16="http://schemas.microsoft.com/office/drawing/2014/main" id="{34494B04-C8A2-456A-9DF7-B8D033209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45720</xdr:colOff>
      <xdr:row>9</xdr:row>
      <xdr:rowOff>38100</xdr:rowOff>
    </xdr:from>
    <xdr:to>
      <xdr:col>11</xdr:col>
      <xdr:colOff>792480</xdr:colOff>
      <xdr:row>22</xdr:row>
      <xdr:rowOff>127635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C0A1D6E6-1925-4597-883B-4FEF3D3294C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447020" y="16840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23</xdr:row>
      <xdr:rowOff>76200</xdr:rowOff>
    </xdr:from>
    <xdr:to>
      <xdr:col>3</xdr:col>
      <xdr:colOff>1805940</xdr:colOff>
      <xdr:row>27</xdr:row>
      <xdr:rowOff>0</xdr:rowOff>
    </xdr:to>
    <xdr:graphicFrame macro="">
      <xdr:nvGraphicFramePr>
        <xdr:cNvPr id="5" name="Chart 4">
          <a:extLst>
            <a:ext uri="{FF2B5EF4-FFF2-40B4-BE49-F238E27FC236}">
              <a16:creationId xmlns:a16="http://schemas.microsoft.com/office/drawing/2014/main" id="{5D9634A5-521A-4D36-9094-8463F2769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419100</xdr:colOff>
      <xdr:row>21</xdr:row>
      <xdr:rowOff>11430</xdr:rowOff>
    </xdr:from>
    <xdr:to>
      <xdr:col>20</xdr:col>
      <xdr:colOff>556260</xdr:colOff>
      <xdr:row>35</xdr:row>
      <xdr:rowOff>179070</xdr:rowOff>
    </xdr:to>
    <xdr:graphicFrame macro="">
      <xdr:nvGraphicFramePr>
        <xdr:cNvPr id="10" name="Chart 9">
          <a:extLst>
            <a:ext uri="{FF2B5EF4-FFF2-40B4-BE49-F238E27FC236}">
              <a16:creationId xmlns:a16="http://schemas.microsoft.com/office/drawing/2014/main" id="{9216EEF4-A7D5-425D-A4DE-3C0E5EAB6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434340</xdr:colOff>
      <xdr:row>34</xdr:row>
      <xdr:rowOff>133350</xdr:rowOff>
    </xdr:from>
    <xdr:to>
      <xdr:col>18</xdr:col>
      <xdr:colOff>259080</xdr:colOff>
      <xdr:row>44</xdr:row>
      <xdr:rowOff>99060</xdr:rowOff>
    </xdr:to>
    <xdr:graphicFrame macro="">
      <xdr:nvGraphicFramePr>
        <xdr:cNvPr id="11" name="Chart 10">
          <a:extLst>
            <a:ext uri="{FF2B5EF4-FFF2-40B4-BE49-F238E27FC236}">
              <a16:creationId xmlns:a16="http://schemas.microsoft.com/office/drawing/2014/main" id="{E4ACCA1D-3EC0-4523-841C-CB2FDC028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472440</xdr:colOff>
      <xdr:row>46</xdr:row>
      <xdr:rowOff>80010</xdr:rowOff>
    </xdr:from>
    <xdr:to>
      <xdr:col>19</xdr:col>
      <xdr:colOff>609600</xdr:colOff>
      <xdr:row>61</xdr:row>
      <xdr:rowOff>80010</xdr:rowOff>
    </xdr:to>
    <xdr:graphicFrame macro="">
      <xdr:nvGraphicFramePr>
        <xdr:cNvPr id="12" name="Chart 11">
          <a:extLst>
            <a:ext uri="{FF2B5EF4-FFF2-40B4-BE49-F238E27FC236}">
              <a16:creationId xmlns:a16="http://schemas.microsoft.com/office/drawing/2014/main" id="{DF4FA650-E3E6-4310-89B7-B48083C5F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548640</xdr:colOff>
      <xdr:row>62</xdr:row>
      <xdr:rowOff>3810</xdr:rowOff>
    </xdr:from>
    <xdr:to>
      <xdr:col>14</xdr:col>
      <xdr:colOff>144780</xdr:colOff>
      <xdr:row>77</xdr:row>
      <xdr:rowOff>3810</xdr:rowOff>
    </xdr:to>
    <xdr:graphicFrame macro="">
      <xdr:nvGraphicFramePr>
        <xdr:cNvPr id="15" name="Chart 14">
          <a:extLst>
            <a:ext uri="{FF2B5EF4-FFF2-40B4-BE49-F238E27FC236}">
              <a16:creationId xmlns:a16="http://schemas.microsoft.com/office/drawing/2014/main" id="{7B566FCB-584B-4D73-AFBB-11415AF08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1402080</xdr:colOff>
      <xdr:row>71</xdr:row>
      <xdr:rowOff>102870</xdr:rowOff>
    </xdr:from>
    <xdr:to>
      <xdr:col>16</xdr:col>
      <xdr:colOff>259080</xdr:colOff>
      <xdr:row>86</xdr:row>
      <xdr:rowOff>102870</xdr:rowOff>
    </xdr:to>
    <xdr:graphicFrame macro="">
      <xdr:nvGraphicFramePr>
        <xdr:cNvPr id="16" name="Chart 15">
          <a:extLst>
            <a:ext uri="{FF2B5EF4-FFF2-40B4-BE49-F238E27FC236}">
              <a16:creationId xmlns:a16="http://schemas.microsoft.com/office/drawing/2014/main" id="{3450E180-50B0-4E89-8955-5D95ADA8A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1440180</xdr:colOff>
      <xdr:row>81</xdr:row>
      <xdr:rowOff>19050</xdr:rowOff>
    </xdr:from>
    <xdr:to>
      <xdr:col>18</xdr:col>
      <xdr:colOff>373380</xdr:colOff>
      <xdr:row>96</xdr:row>
      <xdr:rowOff>19050</xdr:rowOff>
    </xdr:to>
    <xdr:graphicFrame macro="">
      <xdr:nvGraphicFramePr>
        <xdr:cNvPr id="17" name="Chart 16">
          <a:extLst>
            <a:ext uri="{FF2B5EF4-FFF2-40B4-BE49-F238E27FC236}">
              <a16:creationId xmlns:a16="http://schemas.microsoft.com/office/drawing/2014/main" id="{6ABFA542-DD9C-40AD-90F5-A04B699D2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350520</xdr:colOff>
      <xdr:row>90</xdr:row>
      <xdr:rowOff>118110</xdr:rowOff>
    </xdr:from>
    <xdr:to>
      <xdr:col>20</xdr:col>
      <xdr:colOff>487680</xdr:colOff>
      <xdr:row>105</xdr:row>
      <xdr:rowOff>118110</xdr:rowOff>
    </xdr:to>
    <xdr:graphicFrame macro="">
      <xdr:nvGraphicFramePr>
        <xdr:cNvPr id="18" name="Chart 17">
          <a:extLst>
            <a:ext uri="{FF2B5EF4-FFF2-40B4-BE49-F238E27FC236}">
              <a16:creationId xmlns:a16="http://schemas.microsoft.com/office/drawing/2014/main" id="{2D5E1D16-4660-4A5F-B4FF-FFB24B2F5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464820</xdr:colOff>
      <xdr:row>100</xdr:row>
      <xdr:rowOff>34290</xdr:rowOff>
    </xdr:from>
    <xdr:to>
      <xdr:col>22</xdr:col>
      <xdr:colOff>601980</xdr:colOff>
      <xdr:row>115</xdr:row>
      <xdr:rowOff>34290</xdr:rowOff>
    </xdr:to>
    <xdr:graphicFrame macro="">
      <xdr:nvGraphicFramePr>
        <xdr:cNvPr id="19" name="Chart 18">
          <a:extLst>
            <a:ext uri="{FF2B5EF4-FFF2-40B4-BE49-F238E27FC236}">
              <a16:creationId xmlns:a16="http://schemas.microsoft.com/office/drawing/2014/main" id="{03950C0E-8D14-4BA5-BAAB-6787CFC42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579120</xdr:colOff>
      <xdr:row>109</xdr:row>
      <xdr:rowOff>133350</xdr:rowOff>
    </xdr:from>
    <xdr:to>
      <xdr:col>24</xdr:col>
      <xdr:colOff>716280</xdr:colOff>
      <xdr:row>124</xdr:row>
      <xdr:rowOff>133350</xdr:rowOff>
    </xdr:to>
    <xdr:graphicFrame macro="">
      <xdr:nvGraphicFramePr>
        <xdr:cNvPr id="20" name="Chart 19">
          <a:extLst>
            <a:ext uri="{FF2B5EF4-FFF2-40B4-BE49-F238E27FC236}">
              <a16:creationId xmlns:a16="http://schemas.microsoft.com/office/drawing/2014/main" id="{CFA5C5BF-2462-460F-A5D7-A8A37E2D2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11</xdr:col>
      <xdr:colOff>0</xdr:colOff>
      <xdr:row>46</xdr:row>
      <xdr:rowOff>0</xdr:rowOff>
    </xdr:from>
    <xdr:to>
      <xdr:col>14</xdr:col>
      <xdr:colOff>335280</xdr:colOff>
      <xdr:row>61</xdr:row>
      <xdr:rowOff>0</xdr:rowOff>
    </xdr:to>
    <xdr:graphicFrame macro="">
      <xdr:nvGraphicFramePr>
        <xdr:cNvPr id="21" name="Chart 20">
          <a:extLst>
            <a:ext uri="{FF2B5EF4-FFF2-40B4-BE49-F238E27FC236}">
              <a16:creationId xmlns:a16="http://schemas.microsoft.com/office/drawing/2014/main" id="{39130955-7631-4973-8C74-20DA64E3E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68580</xdr:colOff>
      <xdr:row>7</xdr:row>
      <xdr:rowOff>72390</xdr:rowOff>
    </xdr:from>
    <xdr:to>
      <xdr:col>13</xdr:col>
      <xdr:colOff>373380</xdr:colOff>
      <xdr:row>22</xdr:row>
      <xdr:rowOff>72390</xdr:rowOff>
    </xdr:to>
    <xdr:graphicFrame macro="">
      <xdr:nvGraphicFramePr>
        <xdr:cNvPr id="2" name="Chart 1">
          <a:extLst>
            <a:ext uri="{FF2B5EF4-FFF2-40B4-BE49-F238E27FC236}">
              <a16:creationId xmlns:a16="http://schemas.microsoft.com/office/drawing/2014/main" id="{609D6075-7134-4057-A507-F65011732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1264920</xdr:colOff>
      <xdr:row>11</xdr:row>
      <xdr:rowOff>3810</xdr:rowOff>
    </xdr:from>
    <xdr:to>
      <xdr:col>9</xdr:col>
      <xdr:colOff>426720</xdr:colOff>
      <xdr:row>26</xdr:row>
      <xdr:rowOff>3810</xdr:rowOff>
    </xdr:to>
    <xdr:graphicFrame macro="">
      <xdr:nvGraphicFramePr>
        <xdr:cNvPr id="3" name="Chart 2">
          <a:extLst>
            <a:ext uri="{FF2B5EF4-FFF2-40B4-BE49-F238E27FC236}">
              <a16:creationId xmlns:a16="http://schemas.microsoft.com/office/drawing/2014/main" id="{AC40B8FB-8607-47E5-A7A3-DD75D85AF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160020</xdr:colOff>
      <xdr:row>7</xdr:row>
      <xdr:rowOff>0</xdr:rowOff>
    </xdr:from>
    <xdr:to>
      <xdr:col>9</xdr:col>
      <xdr:colOff>464820</xdr:colOff>
      <xdr:row>22</xdr:row>
      <xdr:rowOff>0</xdr:rowOff>
    </xdr:to>
    <xdr:graphicFrame macro="">
      <xdr:nvGraphicFramePr>
        <xdr:cNvPr id="2" name="Chart 1">
          <a:extLst>
            <a:ext uri="{FF2B5EF4-FFF2-40B4-BE49-F238E27FC236}">
              <a16:creationId xmlns:a16="http://schemas.microsoft.com/office/drawing/2014/main" id="{1ADE693F-D085-4758-AC6F-C9A92A3A7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556260</xdr:colOff>
      <xdr:row>9</xdr:row>
      <xdr:rowOff>68580</xdr:rowOff>
    </xdr:from>
    <xdr:to>
      <xdr:col>9</xdr:col>
      <xdr:colOff>449580</xdr:colOff>
      <xdr:row>22</xdr:row>
      <xdr:rowOff>87630</xdr:rowOff>
    </xdr:to>
    <xdr:graphicFrame macro="">
      <xdr:nvGraphicFramePr>
        <xdr:cNvPr id="3" name="Chart 2">
          <a:extLst>
            <a:ext uri="{FF2B5EF4-FFF2-40B4-BE49-F238E27FC236}">
              <a16:creationId xmlns:a16="http://schemas.microsoft.com/office/drawing/2014/main" id="{21BCDEA8-B035-43C6-80BF-6866AB2A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3973263886" createdVersion="7" refreshedVersion="7" minRefreshableVersion="3" recordCount="0" supportSubquery="1" supportAdvancedDrill="1" xr:uid="{1AA3F14F-8BE8-44FE-9A11-6DD3F0946459}">
  <cacheSource type="external" connectionId="3"/>
  <cacheFields count="2">
    <cacheField name="[Measures].[Distinct Count of Patient Id]" caption="Distinct Count of Patient Id" numFmtId="0" hierarchy="22" level="32767"/>
    <cacheField name="[Patient Admission Date].[Date (Month)].[Date (Month)]" caption="Date (Month)" numFmtId="0" hierarchy="14" level="1">
      <sharedItems containsSemiMixedTypes="0" containsNonDate="0" containsString="0"/>
    </cacheField>
  </cacheFields>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1"/>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397847222" createdVersion="7" refreshedVersion="7" minRefreshableVersion="3" recordCount="0" supportSubquery="1" supportAdvancedDrill="1" xr:uid="{31DB7940-75D0-42D1-ABE0-6BC0EB2B64FF}">
  <cacheSource type="external" connectionId="3"/>
  <cacheFields count="3">
    <cacheField name="[Measures].[Distinct Count of Patient Id]" caption="Distinct Count of Patient Id" numFmtId="0" hierarchy="22" level="32767"/>
    <cacheField name="[Patient Admission Date].[Date (Day)].[Date (Day)]" caption="Date (Day)" numFmtId="0" hierarchy="15"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Patient Admission Date].[Date (Month)].[Date (Month)]" caption="Date (Month)" numFmtId="0" hierarchy="14" level="1">
      <sharedItems containsSemiMixedTypes="0" containsNonDate="0" containsString="0"/>
    </cacheField>
  </cacheFields>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2"/>
      </fieldsUsage>
    </cacheHierarchy>
    <cacheHierarchy uniqueName="[Patient Admission Date].[Date (Day)]" caption="Date (Day)" attribute="1" defaultMemberUniqueName="[Patient Admission Date].[Date (Day)].[All]" allUniqueName="[Patient Admission Date].[Date (Day)].[All]" dimensionUniqueName="[Patient Admission Date]" displayFolder="" count="2" memberValueDatatype="130" unbalanced="0">
      <fieldsUsage count="2">
        <fieldUsage x="-1"/>
        <fieldUsage x="1"/>
      </fieldsUsage>
    </cacheHierarchy>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3983680555" createdVersion="7" refreshedVersion="7" minRefreshableVersion="3" recordCount="0" supportSubquery="1" supportAdvancedDrill="1" xr:uid="{0253119A-B4A7-471B-A6A1-FE8A080F0090}">
  <cacheSource type="external" connectionId="3"/>
  <cacheFields count="2">
    <cacheField name="[Measures].[Average of Patient Satisfaction Score]" caption="Average of Patient Satisfaction Score" numFmtId="0" hierarchy="26" level="32767"/>
    <cacheField name="[Patient Admission Date].[Date (Month)].[Date (Month)]" caption="Date (Month)" numFmtId="0" hierarchy="14" level="1">
      <sharedItems containsSemiMixedTypes="0" containsNonDate="0" containsString="0"/>
    </cacheField>
  </cacheFields>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1"/>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398773148" createdVersion="7" refreshedVersion="7" minRefreshableVersion="3" recordCount="0" supportSubquery="1" supportAdvancedDrill="1" xr:uid="{2FB9F233-7D97-45C4-AA3B-97353DC6E367}">
  <cacheSource type="external" connectionId="3"/>
  <cacheFields count="2">
    <cacheField name="[Measures].[Average of Patient Waittime]" caption="Average of Patient Waittime" numFmtId="0" hierarchy="24" level="32767"/>
    <cacheField name="[Patient Admission Date].[Date (Month)].[Date (Month)]" caption="Date (Month)" numFmtId="0" hierarchy="14" level="1">
      <sharedItems containsSemiMixedTypes="0" containsNonDate="0" containsString="0"/>
    </cacheField>
  </cacheFields>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1"/>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3993402777" createdVersion="7" refreshedVersion="7" minRefreshableVersion="3" recordCount="0" supportSubquery="1" supportAdvancedDrill="1" xr:uid="{F5F45A5A-0C30-4D80-B5BA-1E9FA4A8BBCC}">
  <cacheSource type="external" connectionId="3"/>
  <cacheFields count="4">
    <cacheField name="[Patient Admission Date].[Date (Month)].[Date (Month)]" caption="Date (Month)" numFmtId="0" hierarchy="14"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8" level="1">
      <sharedItems count="2">
        <s v="Admitted"/>
        <s v="Not Admitted"/>
      </sharedItems>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3999189811" createdVersion="7" refreshedVersion="7" minRefreshableVersion="3" recordCount="0" supportSubquery="1" supportAdvancedDrill="1" xr:uid="{C1599C8C-3C8F-44D4-A464-DDB2D6515292}">
  <cacheSource type="external" connectionId="3"/>
  <cacheFields count="4">
    <cacheField name="[Patient Admission Date].[Date (Month)].[Date (Month)]" caption="Date (Month)" numFmtId="0" hierarchy="14" level="1">
      <sharedItems containsSemiMixedTypes="0" containsNonDate="0" containsString="0"/>
    </cacheField>
    <cacheField name="[Measures].[Count of Patient Id]" caption="Count of Patient Id" numFmtId="0" hierarchy="21" level="32767"/>
    <cacheField name="[Hospital Emergency Room Data].[Patient Gender].[Patient Gender]" caption="Patient Gender" numFmtId="0" hierarchy="4" level="1">
      <sharedItems count="2">
        <s v="Female"/>
        <s v="Male"/>
      </sharedItems>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400358796" createdVersion="7" refreshedVersion="7" minRefreshableVersion="3" recordCount="0" supportSubquery="1" supportAdvancedDrill="1" xr:uid="{6BBC72C3-53D5-4CCE-B202-FB8F521FA8EB}">
  <cacheSource type="external" connectionId="3"/>
  <cacheFields count="4">
    <cacheField name="[Patient Admission Date].[Date (Month)].[Date (Month)]" caption="Date (Month)" numFmtId="0" hierarchy="14" level="1">
      <sharedItems containsSemiMixedTypes="0" containsNonDate="0" containsString="0"/>
    </cacheField>
    <cacheField name="[Measures].[Count of Patient Id]" caption="Count of Patient Id" numFmtId="0" hierarchy="21" level="32767"/>
    <cacheField name="[Hospital Emergency Room Data].[Patient Race].[Patient Race]" caption="Patient Race" numFmtId="0" hierarchy="6" level="1">
      <sharedItems count="7">
        <s v="African American"/>
        <s v="Asian"/>
        <s v="Declined to Identify"/>
        <s v="Native American/Alaska Native"/>
        <s v="Pacific Islander"/>
        <s v="Two or More Races"/>
        <s v="White"/>
      </sharedItems>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2"/>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4007986109" createdVersion="7" refreshedVersion="7" minRefreshableVersion="3" recordCount="0" supportSubquery="1" supportAdvancedDrill="1" xr:uid="{DA6A424E-FC44-4617-BA62-CFC7EB7A15B8}">
  <cacheSource type="external" connectionId="3"/>
  <cacheFields count="4">
    <cacheField name="[Patient Admission Date].[Date (Month)].[Date (Month)]" caption="Date (Month)" numFmtId="0" hierarchy="14" level="1">
      <sharedItems containsSemiMixedTypes="0" containsNonDate="0" containsString="0"/>
    </cacheField>
    <cacheField name="[Measures].[Count of Patient Id]" caption="Count of Patient Id" numFmtId="0" hierarchy="21" level="32767"/>
    <cacheField name="[Hospital Emergency Room Data].[Patient Attend status].[Patient Attend status]" caption="Patient Attend status" numFmtId="0" hierarchy="12" level="1">
      <sharedItems count="2">
        <s v="Delayed"/>
        <s v="On Time"/>
      </sharedItems>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4012384258" createdVersion="7" refreshedVersion="7" minRefreshableVersion="3" recordCount="0" supportSubquery="1" supportAdvancedDrill="1" xr:uid="{F06297C5-4DCD-4B4F-BD7B-71ACEEC4910F}">
  <cacheSource type="external" connectionId="3"/>
  <cacheFields count="3">
    <cacheField name="[Patient Admission Date].[Date (Month)].[Date (Month)]" caption="Date (Month)" numFmtId="0" hierarchy="14" level="1">
      <sharedItems containsSemiMixedTypes="0" containsNonDate="0" containsString="0"/>
    </cacheField>
    <cacheField name="[Hospital Emergency Room Data].[Age Group].[Age Group]" caption="Age Group" numFmtId="0" hierarchy="11" level="1">
      <sharedItems count="8">
        <s v="0-9 "/>
        <s v="10-19"/>
        <s v="20-29"/>
        <s v="30-39"/>
        <s v="40-49"/>
        <s v="50-59"/>
        <s v="60-69"/>
        <s v="70-79"/>
      </sharedItems>
    </cacheField>
    <cacheField name="[Measures].[Count of Patient Id]" caption="Count of Patient Id" numFmtId="0" hierarchy="21" level="32767"/>
  </cacheFields>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4016898146" createdVersion="7" refreshedVersion="7" minRefreshableVersion="3" recordCount="0" supportSubquery="1" supportAdvancedDrill="1" xr:uid="{F5C10247-7292-4D16-AB0E-EA46AF371A18}">
  <cacheSource type="external" connectionId="3"/>
  <cacheFields count="3">
    <cacheField name="[Patient Admission Date].[Date (Month)].[Date (Month)]" caption="Date (Month)" numFmtId="0" hierarchy="14" level="1">
      <sharedItems containsSemiMixedTypes="0" containsNonDate="0" containsString="0"/>
    </cacheField>
    <cacheField name="[Measures].[Count of Patient Id]" caption="Count of Patient Id" numFmtId="0" hierarchy="21" level="32767"/>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s>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4021296295" createdVersion="7" refreshedVersion="7" minRefreshableVersion="3" recordCount="0" supportSubquery="1" supportAdvancedDrill="1" xr:uid="{CB46382F-FA14-4C13-AA77-23820A3CADC7}">
  <cacheSource type="external" connectionId="3"/>
  <cacheFields count="4">
    <cacheField name="[Patient Admission Date].[Date (Month)].[Date (Month)]" caption="Date (Month)" numFmtId="0" hierarchy="14" level="1">
      <sharedItems containsSemiMixedTypes="0" containsNonDate="0" containsString="0"/>
    </cacheField>
    <cacheField name="[Measures].[Count of Patient Id]" caption="Count of Patient Id" numFmtId="0" hierarchy="21" level="32767"/>
    <cacheField name="[Hospital Emergency Room Data].[Patient Attend status].[Patient Attend status]" caption="Patient Attend status" numFmtId="0" hierarchy="12" level="1">
      <sharedItems count="2">
        <s v="Delayed"/>
        <s v="On Time"/>
      </sharedItems>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53.554026157406" createdVersion="7" refreshedVersion="7" minRefreshableVersion="3" recordCount="0" supportSubquery="1" supportAdvancedDrill="1" xr:uid="{A856569A-B0F5-45D2-B68C-1651FA7AE441}">
  <cacheSource type="external" connectionId="3"/>
  <cacheFields count="4">
    <cacheField name="[Patient Admission Date].[Date (Month)].[Date (Month)]" caption="Date (Month)" numFmtId="0" hierarchy="14" level="1">
      <sharedItems containsSemiMixedTypes="0" containsNonDate="0" containsString="0"/>
    </cacheField>
    <cacheField name="[Measures].[Count of Patient Id]" caption="Count of Patient Id" numFmtId="0" hierarchy="21" level="32767"/>
    <cacheField name="[Hospital Emergency Room Data].[Patient Attend status].[Patient Attend status]" caption="Patient Attend status" numFmtId="0" hierarchy="12" level="1">
      <sharedItems count="2">
        <s v="Delayed"/>
        <s v="On Time"/>
      </sharedItems>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fieldsUsage count="2">
        <fieldUsage x="-1"/>
        <fieldUsage x="0"/>
      </fieldsUsage>
    </cacheHierarchy>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Patient Admission Date" uniqueName="[Patient Admission Date]" caption="Patient Admission Date"/>
  </dimensions>
  <measureGroups count="2">
    <measureGroup name="Hospital Emergency Room Data" caption="Hospital Emergency Room Data"/>
    <measureGroup name="Patient Admission Date" caption="Patient Admission Dat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master" refreshedDate="46242.161667824075" createdVersion="3" refreshedVersion="7" minRefreshableVersion="3" recordCount="0" supportSubquery="1" supportAdvancedDrill="1" xr:uid="{BF0F3BF7-809C-470F-9723-20B89F1DAF7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Patient Admission Date].[Date]" caption="Date" attribute="1" time="1" defaultMemberUniqueName="[Patient Admission Date].[Date].[All]" allUniqueName="[Patient Admission Date].[Date].[All]" dimensionUniqueName="[Patient Admission Date]" displayFolder="" count="0" memberValueDatatype="7" unbalanced="0"/>
    <cacheHierarchy uniqueName="[Patient Admission Date].[Date (Month)]" caption="Date (Month)" attribute="1" defaultMemberUniqueName="[Patient Admission Date].[Date (Month)].[All]" allUniqueName="[Patient Admission Date].[Date (Month)].[All]" dimensionUniqueName="[Patient Admission Date]" displayFolder="" count="2" memberValueDatatype="130" unbalanced="0"/>
    <cacheHierarchy uniqueName="[Patient Admission Date].[Date (Day)]" caption="Date (Day)" attribute="1" defaultMemberUniqueName="[Patient Admission Date].[Date (Day)].[All]" allUniqueName="[Patient Admission Date].[Date (Day)].[All]" dimensionUniqueName="[Patient Admission Date]" displayFolder="" count="0" memberValueDatatype="130" unbalanced="0"/>
    <cacheHierarchy uniqueName="[Patient Admission Date].[Date (Day Index)]" caption="Date (Day Index)" attribute="1" defaultMemberUniqueName="[Patient Admission Date].[Date (Day Index)].[All]" allUniqueName="[Patient Admission Date].[Date (Day Index)].[All]" dimensionUniqueName="[Patient Admission Date]" displayFolder="" count="0" memberValueDatatype="5" unbalanced="0" hidden="1"/>
    <cacheHierarchy uniqueName="[Patient Admission Date].[Date (Month Index)]" caption="Date (Month Index)" attribute="1" defaultMemberUniqueName="[Patient Admission Date].[Date (Month Index)].[All]" allUniqueName="[Patient Admission Date].[Date (Month Index)].[All]" dimensionUniqueName="[Patient Admission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Patient Admission Date]" caption="__XL_Count Patient Admission Date" measure="1" displayFolder="" measureGroup="Patient Admission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5860239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D99C8C-D056-450F-A6AA-298D7C75BA7A}" name="PivotTable11" cacheId="27"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42">
  <location ref="A17:C20"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46">
      <pivotArea outline="0" collapsedLevelsAreSubtotals="1" fieldPosition="0"/>
    </format>
    <format dxfId="45">
      <pivotArea field="2" grandRow="1" outline="0" collapsedLevelsAreSubtotals="1" axis="axisRow" fieldPosition="0">
        <references count="1">
          <reference field="4294967294" count="1" selected="0">
            <x v="1"/>
          </reference>
        </references>
      </pivotArea>
    </format>
    <format dxfId="44">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395F2-326D-4F08-8F2A-6352EDF6E80C}" name="PivotTable8" cacheId="21"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7">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8342E-93BE-44CA-9440-9959981C95AF}" name="PivotTable2" cacheId="48"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55">
  <location ref="Q49:S5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1" subtotal="count" baseField="0" baseItem="0"/>
    <dataField name="Count of Patient Id2"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5">
    <format dxfId="52">
      <pivotArea outline="0" collapsedLevelsAreSubtotals="1" fieldPosition="0"/>
    </format>
    <format dxfId="51">
      <pivotArea grandRow="1" outline="0" collapsedLevelsAreSubtotals="1" fieldPosition="0"/>
    </format>
    <format dxfId="50">
      <pivotArea collapsedLevelsAreSubtotals="1" fieldPosition="0">
        <references count="1">
          <reference field="2" count="1">
            <x v="0"/>
          </reference>
        </references>
      </pivotArea>
    </format>
    <format dxfId="49">
      <pivotArea collapsedLevelsAreSubtotals="1" fieldPosition="0">
        <references count="1">
          <reference field="2" count="1">
            <x v="1"/>
          </reference>
        </references>
      </pivotArea>
    </format>
    <format dxfId="48">
      <pivotArea outline="0" fieldPosition="0">
        <references count="1">
          <reference field="4294967294" count="1">
            <x v="1"/>
          </reference>
        </references>
      </pivotArea>
    </format>
  </formats>
  <chartFormats count="22">
    <chartFormat chart="19"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pivotArea type="data" outline="0" fieldPosition="0">
        <references count="2">
          <reference field="4294967294" count="1" selected="0">
            <x v="0"/>
          </reference>
          <reference field="2" count="1" selected="0">
            <x v="0"/>
          </reference>
        </references>
      </pivotArea>
    </chartFormat>
    <chartFormat chart="45" format="3">
      <pivotArea type="data" outline="0" fieldPosition="0">
        <references count="2">
          <reference field="4294967294" count="1" selected="0">
            <x v="0"/>
          </reference>
          <reference field="2" count="1" selected="0">
            <x v="1"/>
          </reference>
        </references>
      </pivotArea>
    </chartFormat>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2" count="1" selected="0">
            <x v="0"/>
          </reference>
        </references>
      </pivotArea>
    </chartFormat>
    <chartFormat chart="51" format="12">
      <pivotArea type="data" outline="0" fieldPosition="0">
        <references count="2">
          <reference field="4294967294" count="1" selected="0">
            <x v="0"/>
          </reference>
          <reference field="2" count="1" selected="0">
            <x v="1"/>
          </reference>
        </references>
      </pivotArea>
    </chartFormat>
    <chartFormat chart="51" format="13" series="1">
      <pivotArea type="data" outline="0" fieldPosition="0">
        <references count="1">
          <reference field="4294967294" count="1" selected="0">
            <x v="1"/>
          </reference>
        </references>
      </pivotArea>
    </chartFormat>
    <chartFormat chart="51" format="14">
      <pivotArea type="data" outline="0" fieldPosition="0">
        <references count="2">
          <reference field="4294967294" count="1" selected="0">
            <x v="1"/>
          </reference>
          <reference field="2" count="1" selected="0">
            <x v="0"/>
          </reference>
        </references>
      </pivotArea>
    </chartFormat>
    <chartFormat chart="51" format="15">
      <pivotArea type="data" outline="0" fieldPosition="0">
        <references count="2">
          <reference field="4294967294" count="1" selected="0">
            <x v="1"/>
          </reference>
          <reference field="2" count="1" selected="0">
            <x v="1"/>
          </reference>
        </references>
      </pivotArea>
    </chartFormat>
    <chartFormat chart="54" format="10" series="1">
      <pivotArea type="data" outline="0" fieldPosition="0">
        <references count="1">
          <reference field="4294967294" count="1" selected="0">
            <x v="0"/>
          </reference>
        </references>
      </pivotArea>
    </chartFormat>
    <chartFormat chart="54" format="11">
      <pivotArea type="data" outline="0" fieldPosition="0">
        <references count="2">
          <reference field="4294967294" count="1" selected="0">
            <x v="0"/>
          </reference>
          <reference field="2" count="1" selected="0">
            <x v="0"/>
          </reference>
        </references>
      </pivotArea>
    </chartFormat>
    <chartFormat chart="54" format="12">
      <pivotArea type="data" outline="0" fieldPosition="0">
        <references count="2">
          <reference field="4294967294" count="1" selected="0">
            <x v="0"/>
          </reference>
          <reference field="2" count="1" selected="0">
            <x v="1"/>
          </reference>
        </references>
      </pivotArea>
    </chartFormat>
    <chartFormat chart="54" format="13" series="1">
      <pivotArea type="data" outline="0" fieldPosition="0">
        <references count="1">
          <reference field="4294967294" count="1" selected="0">
            <x v="1"/>
          </reference>
        </references>
      </pivotArea>
    </chartFormat>
    <chartFormat chart="54" format="14">
      <pivotArea type="data" outline="0" fieldPosition="0">
        <references count="2">
          <reference field="4294967294" count="1" selected="0">
            <x v="1"/>
          </reference>
          <reference field="2" count="1" selected="0">
            <x v="0"/>
          </reference>
        </references>
      </pivotArea>
    </chartFormat>
    <chartFormat chart="54" format="15">
      <pivotArea type="data" outline="0" fieldPosition="0">
        <references count="2">
          <reference field="4294967294" count="1" selected="0">
            <x v="1"/>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2"/>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61F04-604C-46FC-AD19-40DC531A5407}" name="PivotTable15" cacheId="30"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75">
  <location ref="K34:M3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1" subtotal="count" baseField="0" baseItem="0"/>
    <dataField name="Count of Patient percentage"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3">
    <format dxfId="55">
      <pivotArea outline="0" collapsedLevelsAreSubtotals="1" fieldPosition="0"/>
    </format>
    <format dxfId="54">
      <pivotArea grandRow="1" outline="0" collapsedLevelsAreSubtotals="1" fieldPosition="0"/>
    </format>
    <format dxfId="53">
      <pivotArea outline="0" fieldPosition="0">
        <references count="1">
          <reference field="4294967294" count="1">
            <x v="1"/>
          </reference>
        </references>
      </pivotArea>
    </format>
  </formats>
  <chartFormats count="84">
    <chartFormat chart="19"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51" format="10"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 chart="54" format="10"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5" format="2">
      <pivotArea type="data" outline="0" fieldPosition="0">
        <references count="2">
          <reference field="4294967294" count="1" selected="0">
            <x v="0"/>
          </reference>
          <reference field="2" count="1" selected="0">
            <x v="1"/>
          </reference>
        </references>
      </pivotArea>
    </chartFormat>
    <chartFormat chart="55" format="3">
      <pivotArea type="data" outline="0" fieldPosition="0">
        <references count="2">
          <reference field="4294967294" count="1" selected="0">
            <x v="0"/>
          </reference>
          <reference field="2" count="1" selected="0">
            <x v="0"/>
          </reference>
        </references>
      </pivotArea>
    </chartFormat>
    <chartFormat chart="62" format="10" series="1">
      <pivotArea type="data" outline="0" fieldPosition="0">
        <references count="1">
          <reference field="4294967294" count="1" selected="0">
            <x v="0"/>
          </reference>
        </references>
      </pivotArea>
    </chartFormat>
    <chartFormat chart="62" format="11">
      <pivotArea type="data" outline="0" fieldPosition="0">
        <references count="2">
          <reference field="4294967294" count="1" selected="0">
            <x v="0"/>
          </reference>
          <reference field="2" count="1" selected="0">
            <x v="0"/>
          </reference>
        </references>
      </pivotArea>
    </chartFormat>
    <chartFormat chart="62" format="12">
      <pivotArea type="data" outline="0" fieldPosition="0">
        <references count="2">
          <reference field="4294967294" count="1" selected="0">
            <x v="0"/>
          </reference>
          <reference field="2" count="1" selected="0">
            <x v="1"/>
          </reference>
        </references>
      </pivotArea>
    </chartFormat>
    <chartFormat chart="62" format="13" series="1">
      <pivotArea type="data" outline="0" fieldPosition="0">
        <references count="1">
          <reference field="4294967294" count="1" selected="0">
            <x v="1"/>
          </reference>
        </references>
      </pivotArea>
    </chartFormat>
    <chartFormat chart="62" format="14">
      <pivotArea type="data" outline="0" fieldPosition="0">
        <references count="2">
          <reference field="4294967294" count="1" selected="0">
            <x v="1"/>
          </reference>
          <reference field="2" count="1" selected="0">
            <x v="0"/>
          </reference>
        </references>
      </pivotArea>
    </chartFormat>
    <chartFormat chart="62" format="15">
      <pivotArea type="data" outline="0" fieldPosition="0">
        <references count="2">
          <reference field="4294967294" count="1" selected="0">
            <x v="1"/>
          </reference>
          <reference field="2" count="1" selected="0">
            <x v="1"/>
          </reference>
        </references>
      </pivotArea>
    </chartFormat>
    <chartFormat chart="55" format="4">
      <pivotArea type="data" outline="0" fieldPosition="0">
        <references count="2">
          <reference field="4294967294" count="1" selected="0">
            <x v="1"/>
          </reference>
          <reference field="2" count="1" selected="0">
            <x v="0"/>
          </reference>
        </references>
      </pivotArea>
    </chartFormat>
    <chartFormat chart="55" format="5">
      <pivotArea type="data" outline="0" fieldPosition="0">
        <references count="2">
          <reference field="4294967294" count="1" selected="0">
            <x v="1"/>
          </reference>
          <reference field="2" count="1" selected="0">
            <x v="1"/>
          </reference>
        </references>
      </pivotArea>
    </chartFormat>
    <chartFormat chart="63" format="0"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0"/>
          </reference>
        </references>
      </pivotArea>
    </chartFormat>
    <chartFormat chart="64" format="3">
      <pivotArea type="data" outline="0" fieldPosition="0">
        <references count="2">
          <reference field="4294967294" count="1" selected="0">
            <x v="0"/>
          </reference>
          <reference field="2" count="1" selected="0">
            <x v="0"/>
          </reference>
        </references>
      </pivotArea>
    </chartFormat>
    <chartFormat chart="64" format="4">
      <pivotArea type="data" outline="0" fieldPosition="0">
        <references count="2">
          <reference field="4294967294" count="1" selected="0">
            <x v="0"/>
          </reference>
          <reference field="2" count="1" selected="0">
            <x v="1"/>
          </reference>
        </references>
      </pivotArea>
    </chartFormat>
    <chartFormat chart="64" format="5" series="1">
      <pivotArea type="data" outline="0" fieldPosition="0">
        <references count="1">
          <reference field="4294967294" count="1" selected="0">
            <x v="1"/>
          </reference>
        </references>
      </pivotArea>
    </chartFormat>
    <chartFormat chart="64" format="6">
      <pivotArea type="data" outline="0" fieldPosition="0">
        <references count="2">
          <reference field="4294967294" count="1" selected="0">
            <x v="1"/>
          </reference>
          <reference field="2" count="1" selected="0">
            <x v="0"/>
          </reference>
        </references>
      </pivotArea>
    </chartFormat>
    <chartFormat chart="64" format="7">
      <pivotArea type="data" outline="0" fieldPosition="0">
        <references count="2">
          <reference field="4294967294" count="1" selected="0">
            <x v="1"/>
          </reference>
          <reference field="2" count="1" selected="0">
            <x v="1"/>
          </reference>
        </references>
      </pivotArea>
    </chartFormat>
    <chartFormat chart="65" format="8" series="1">
      <pivotArea type="data" outline="0" fieldPosition="0">
        <references count="1">
          <reference field="4294967294" count="1" selected="0">
            <x v="0"/>
          </reference>
        </references>
      </pivotArea>
    </chartFormat>
    <chartFormat chart="65" format="9">
      <pivotArea type="data" outline="0" fieldPosition="0">
        <references count="2">
          <reference field="4294967294" count="1" selected="0">
            <x v="0"/>
          </reference>
          <reference field="2" count="1" selected="0">
            <x v="0"/>
          </reference>
        </references>
      </pivotArea>
    </chartFormat>
    <chartFormat chart="65" format="10">
      <pivotArea type="data" outline="0" fieldPosition="0">
        <references count="2">
          <reference field="4294967294" count="1" selected="0">
            <x v="0"/>
          </reference>
          <reference field="2" count="1" selected="0">
            <x v="1"/>
          </reference>
        </references>
      </pivotArea>
    </chartFormat>
    <chartFormat chart="65" format="11" series="1">
      <pivotArea type="data" outline="0" fieldPosition="0">
        <references count="1">
          <reference field="4294967294" count="1" selected="0">
            <x v="1"/>
          </reference>
        </references>
      </pivotArea>
    </chartFormat>
    <chartFormat chart="65" format="12">
      <pivotArea type="data" outline="0" fieldPosition="0">
        <references count="2">
          <reference field="4294967294" count="1" selected="0">
            <x v="1"/>
          </reference>
          <reference field="2" count="1" selected="0">
            <x v="0"/>
          </reference>
        </references>
      </pivotArea>
    </chartFormat>
    <chartFormat chart="65" format="13">
      <pivotArea type="data" outline="0" fieldPosition="0">
        <references count="2">
          <reference field="4294967294" count="1" selected="0">
            <x v="1"/>
          </reference>
          <reference field="2" count="1" selected="0">
            <x v="1"/>
          </reference>
        </references>
      </pivotArea>
    </chartFormat>
    <chartFormat chart="66" format="14" series="1">
      <pivotArea type="data" outline="0" fieldPosition="0">
        <references count="1">
          <reference field="4294967294" count="1" selected="0">
            <x v="0"/>
          </reference>
        </references>
      </pivotArea>
    </chartFormat>
    <chartFormat chart="66" format="15">
      <pivotArea type="data" outline="0" fieldPosition="0">
        <references count="2">
          <reference field="4294967294" count="1" selected="0">
            <x v="0"/>
          </reference>
          <reference field="2" count="1" selected="0">
            <x v="0"/>
          </reference>
        </references>
      </pivotArea>
    </chartFormat>
    <chartFormat chart="66" format="16">
      <pivotArea type="data" outline="0" fieldPosition="0">
        <references count="2">
          <reference field="4294967294" count="1" selected="0">
            <x v="0"/>
          </reference>
          <reference field="2" count="1" selected="0">
            <x v="1"/>
          </reference>
        </references>
      </pivotArea>
    </chartFormat>
    <chartFormat chart="66" format="17" series="1">
      <pivotArea type="data" outline="0" fieldPosition="0">
        <references count="1">
          <reference field="4294967294" count="1" selected="0">
            <x v="1"/>
          </reference>
        </references>
      </pivotArea>
    </chartFormat>
    <chartFormat chart="66" format="18">
      <pivotArea type="data" outline="0" fieldPosition="0">
        <references count="2">
          <reference field="4294967294" count="1" selected="0">
            <x v="1"/>
          </reference>
          <reference field="2" count="1" selected="0">
            <x v="0"/>
          </reference>
        </references>
      </pivotArea>
    </chartFormat>
    <chartFormat chart="66" format="19">
      <pivotArea type="data" outline="0" fieldPosition="0">
        <references count="2">
          <reference field="4294967294" count="1" selected="0">
            <x v="1"/>
          </reference>
          <reference field="2" count="1" selected="0">
            <x v="1"/>
          </reference>
        </references>
      </pivotArea>
    </chartFormat>
    <chartFormat chart="67" format="20" series="1">
      <pivotArea type="data" outline="0" fieldPosition="0">
        <references count="1">
          <reference field="4294967294" count="1" selected="0">
            <x v="0"/>
          </reference>
        </references>
      </pivotArea>
    </chartFormat>
    <chartFormat chart="67" format="21">
      <pivotArea type="data" outline="0" fieldPosition="0">
        <references count="2">
          <reference field="4294967294" count="1" selected="0">
            <x v="0"/>
          </reference>
          <reference field="2" count="1" selected="0">
            <x v="0"/>
          </reference>
        </references>
      </pivotArea>
    </chartFormat>
    <chartFormat chart="67" format="22">
      <pivotArea type="data" outline="0" fieldPosition="0">
        <references count="2">
          <reference field="4294967294" count="1" selected="0">
            <x v="0"/>
          </reference>
          <reference field="2" count="1" selected="0">
            <x v="1"/>
          </reference>
        </references>
      </pivotArea>
    </chartFormat>
    <chartFormat chart="67" format="23" series="1">
      <pivotArea type="data" outline="0" fieldPosition="0">
        <references count="1">
          <reference field="4294967294" count="1" selected="0">
            <x v="1"/>
          </reference>
        </references>
      </pivotArea>
    </chartFormat>
    <chartFormat chart="67" format="24">
      <pivotArea type="data" outline="0" fieldPosition="0">
        <references count="2">
          <reference field="4294967294" count="1" selected="0">
            <x v="1"/>
          </reference>
          <reference field="2" count="1" selected="0">
            <x v="0"/>
          </reference>
        </references>
      </pivotArea>
    </chartFormat>
    <chartFormat chart="67" format="25">
      <pivotArea type="data" outline="0" fieldPosition="0">
        <references count="2">
          <reference field="4294967294" count="1" selected="0">
            <x v="1"/>
          </reference>
          <reference field="2" count="1" selected="0">
            <x v="1"/>
          </reference>
        </references>
      </pivotArea>
    </chartFormat>
    <chartFormat chart="68" format="26" series="1">
      <pivotArea type="data" outline="0" fieldPosition="0">
        <references count="1">
          <reference field="4294967294" count="1" selected="0">
            <x v="0"/>
          </reference>
        </references>
      </pivotArea>
    </chartFormat>
    <chartFormat chart="68" format="27">
      <pivotArea type="data" outline="0" fieldPosition="0">
        <references count="2">
          <reference field="4294967294" count="1" selected="0">
            <x v="0"/>
          </reference>
          <reference field="2" count="1" selected="0">
            <x v="0"/>
          </reference>
        </references>
      </pivotArea>
    </chartFormat>
    <chartFormat chart="68" format="28">
      <pivotArea type="data" outline="0" fieldPosition="0">
        <references count="2">
          <reference field="4294967294" count="1" selected="0">
            <x v="0"/>
          </reference>
          <reference field="2" count="1" selected="0">
            <x v="1"/>
          </reference>
        </references>
      </pivotArea>
    </chartFormat>
    <chartFormat chart="68" format="29" series="1">
      <pivotArea type="data" outline="0" fieldPosition="0">
        <references count="1">
          <reference field="4294967294" count="1" selected="0">
            <x v="1"/>
          </reference>
        </references>
      </pivotArea>
    </chartFormat>
    <chartFormat chart="68" format="30">
      <pivotArea type="data" outline="0" fieldPosition="0">
        <references count="2">
          <reference field="4294967294" count="1" selected="0">
            <x v="1"/>
          </reference>
          <reference field="2" count="1" selected="0">
            <x v="0"/>
          </reference>
        </references>
      </pivotArea>
    </chartFormat>
    <chartFormat chart="68" format="31">
      <pivotArea type="data" outline="0" fieldPosition="0">
        <references count="2">
          <reference field="4294967294" count="1" selected="0">
            <x v="1"/>
          </reference>
          <reference field="2" count="1" selected="0">
            <x v="1"/>
          </reference>
        </references>
      </pivotArea>
    </chartFormat>
    <chartFormat chart="69" format="32" series="1">
      <pivotArea type="data" outline="0" fieldPosition="0">
        <references count="1">
          <reference field="4294967294" count="1" selected="0">
            <x v="0"/>
          </reference>
        </references>
      </pivotArea>
    </chartFormat>
    <chartFormat chart="69" format="33">
      <pivotArea type="data" outline="0" fieldPosition="0">
        <references count="2">
          <reference field="4294967294" count="1" selected="0">
            <x v="0"/>
          </reference>
          <reference field="2" count="1" selected="0">
            <x v="0"/>
          </reference>
        </references>
      </pivotArea>
    </chartFormat>
    <chartFormat chart="69" format="34">
      <pivotArea type="data" outline="0" fieldPosition="0">
        <references count="2">
          <reference field="4294967294" count="1" selected="0">
            <x v="0"/>
          </reference>
          <reference field="2" count="1" selected="0">
            <x v="1"/>
          </reference>
        </references>
      </pivotArea>
    </chartFormat>
    <chartFormat chart="69" format="35" series="1">
      <pivotArea type="data" outline="0" fieldPosition="0">
        <references count="1">
          <reference field="4294967294" count="1" selected="0">
            <x v="1"/>
          </reference>
        </references>
      </pivotArea>
    </chartFormat>
    <chartFormat chart="69" format="36">
      <pivotArea type="data" outline="0" fieldPosition="0">
        <references count="2">
          <reference field="4294967294" count="1" selected="0">
            <x v="1"/>
          </reference>
          <reference field="2" count="1" selected="0">
            <x v="0"/>
          </reference>
        </references>
      </pivotArea>
    </chartFormat>
    <chartFormat chart="69" format="37">
      <pivotArea type="data" outline="0" fieldPosition="0">
        <references count="2">
          <reference field="4294967294" count="1" selected="0">
            <x v="1"/>
          </reference>
          <reference field="2" count="1" selected="0">
            <x v="1"/>
          </reference>
        </references>
      </pivotArea>
    </chartFormat>
    <chartFormat chart="70" format="38" series="1">
      <pivotArea type="data" outline="0" fieldPosition="0">
        <references count="1">
          <reference field="4294967294" count="1" selected="0">
            <x v="0"/>
          </reference>
        </references>
      </pivotArea>
    </chartFormat>
    <chartFormat chart="70" format="39">
      <pivotArea type="data" outline="0" fieldPosition="0">
        <references count="2">
          <reference field="4294967294" count="1" selected="0">
            <x v="0"/>
          </reference>
          <reference field="2" count="1" selected="0">
            <x v="0"/>
          </reference>
        </references>
      </pivotArea>
    </chartFormat>
    <chartFormat chart="70" format="40">
      <pivotArea type="data" outline="0" fieldPosition="0">
        <references count="2">
          <reference field="4294967294" count="1" selected="0">
            <x v="0"/>
          </reference>
          <reference field="2" count="1" selected="0">
            <x v="1"/>
          </reference>
        </references>
      </pivotArea>
    </chartFormat>
    <chartFormat chart="70" format="41" series="1">
      <pivotArea type="data" outline="0" fieldPosition="0">
        <references count="1">
          <reference field="4294967294" count="1" selected="0">
            <x v="1"/>
          </reference>
        </references>
      </pivotArea>
    </chartFormat>
    <chartFormat chart="70" format="42">
      <pivotArea type="data" outline="0" fieldPosition="0">
        <references count="2">
          <reference field="4294967294" count="1" selected="0">
            <x v="1"/>
          </reference>
          <reference field="2" count="1" selected="0">
            <x v="0"/>
          </reference>
        </references>
      </pivotArea>
    </chartFormat>
    <chartFormat chart="70" format="43">
      <pivotArea type="data" outline="0" fieldPosition="0">
        <references count="2">
          <reference field="4294967294" count="1" selected="0">
            <x v="1"/>
          </reference>
          <reference field="2" count="1" selected="0">
            <x v="1"/>
          </reference>
        </references>
      </pivotArea>
    </chartFormat>
    <chartFormat chart="71" format="44" series="1">
      <pivotArea type="data" outline="0" fieldPosition="0">
        <references count="1">
          <reference field="4294967294" count="1" selected="0">
            <x v="0"/>
          </reference>
        </references>
      </pivotArea>
    </chartFormat>
    <chartFormat chart="71" format="45">
      <pivotArea type="data" outline="0" fieldPosition="0">
        <references count="2">
          <reference field="4294967294" count="1" selected="0">
            <x v="0"/>
          </reference>
          <reference field="2" count="1" selected="0">
            <x v="0"/>
          </reference>
        </references>
      </pivotArea>
    </chartFormat>
    <chartFormat chart="71" format="46">
      <pivotArea type="data" outline="0" fieldPosition="0">
        <references count="2">
          <reference field="4294967294" count="1" selected="0">
            <x v="0"/>
          </reference>
          <reference field="2" count="1" selected="0">
            <x v="1"/>
          </reference>
        </references>
      </pivotArea>
    </chartFormat>
    <chartFormat chart="71" format="47" series="1">
      <pivotArea type="data" outline="0" fieldPosition="0">
        <references count="1">
          <reference field="4294967294" count="1" selected="0">
            <x v="1"/>
          </reference>
        </references>
      </pivotArea>
    </chartFormat>
    <chartFormat chart="71" format="48">
      <pivotArea type="data" outline="0" fieldPosition="0">
        <references count="2">
          <reference field="4294967294" count="1" selected="0">
            <x v="1"/>
          </reference>
          <reference field="2" count="1" selected="0">
            <x v="0"/>
          </reference>
        </references>
      </pivotArea>
    </chartFormat>
    <chartFormat chart="71" format="49">
      <pivotArea type="data" outline="0" fieldPosition="0">
        <references count="2">
          <reference field="4294967294" count="1" selected="0">
            <x v="1"/>
          </reference>
          <reference field="2" count="1" selected="0">
            <x v="1"/>
          </reference>
        </references>
      </pivotArea>
    </chartFormat>
    <chartFormat chart="63" format="2">
      <pivotArea type="data" outline="0" fieldPosition="0">
        <references count="2">
          <reference field="4294967294" count="1" selected="0">
            <x v="0"/>
          </reference>
          <reference field="2" count="1" selected="0">
            <x v="0"/>
          </reference>
        </references>
      </pivotArea>
    </chartFormat>
    <chartFormat chart="63" format="3">
      <pivotArea type="data" outline="0" fieldPosition="0">
        <references count="2">
          <reference field="4294967294" count="1" selected="0">
            <x v="0"/>
          </reference>
          <reference field="2" count="1" selected="0">
            <x v="1"/>
          </reference>
        </references>
      </pivotArea>
    </chartFormat>
    <chartFormat chart="63" format="4">
      <pivotArea type="data" outline="0" fieldPosition="0">
        <references count="2">
          <reference field="4294967294" count="1" selected="0">
            <x v="1"/>
          </reference>
          <reference field="2" count="1" selected="0">
            <x v="0"/>
          </reference>
        </references>
      </pivotArea>
    </chartFormat>
    <chartFormat chart="63" format="5">
      <pivotArea type="data" outline="0" fieldPosition="0">
        <references count="2">
          <reference field="4294967294" count="1" selected="0">
            <x v="1"/>
          </reference>
          <reference field="2" count="1" selected="0">
            <x v="1"/>
          </reference>
        </references>
      </pivotArea>
    </chartFormat>
    <chartFormat chart="74" format="12" series="1">
      <pivotArea type="data" outline="0" fieldPosition="0">
        <references count="1">
          <reference field="4294967294" count="1" selected="0">
            <x v="0"/>
          </reference>
        </references>
      </pivotArea>
    </chartFormat>
    <chartFormat chart="74" format="13">
      <pivotArea type="data" outline="0" fieldPosition="0">
        <references count="2">
          <reference field="4294967294" count="1" selected="0">
            <x v="0"/>
          </reference>
          <reference field="2" count="1" selected="0">
            <x v="0"/>
          </reference>
        </references>
      </pivotArea>
    </chartFormat>
    <chartFormat chart="74" format="14">
      <pivotArea type="data" outline="0" fieldPosition="0">
        <references count="2">
          <reference field="4294967294" count="1" selected="0">
            <x v="0"/>
          </reference>
          <reference field="2" count="1" selected="0">
            <x v="1"/>
          </reference>
        </references>
      </pivotArea>
    </chartFormat>
    <chartFormat chart="74" format="15" series="1">
      <pivotArea type="data" outline="0" fieldPosition="0">
        <references count="1">
          <reference field="4294967294" count="1" selected="0">
            <x v="1"/>
          </reference>
        </references>
      </pivotArea>
    </chartFormat>
    <chartFormat chart="74" format="16">
      <pivotArea type="data" outline="0" fieldPosition="0">
        <references count="2">
          <reference field="4294967294" count="1" selected="0">
            <x v="1"/>
          </reference>
          <reference field="2" count="1" selected="0">
            <x v="0"/>
          </reference>
        </references>
      </pivotArea>
    </chartFormat>
    <chartFormat chart="74" format="17">
      <pivotArea type="data" outline="0" fieldPosition="0">
        <references count="2">
          <reference field="4294967294" count="1" selected="0">
            <x v="1"/>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percent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235C4D-4942-43D8-9E33-45D0ECB72102}" name="PivotTable7" cacheId="15"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Patient"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515484-B124-4ECC-8B19-4D62ACA2D2EE}" name="PivotTable10"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F8:G39"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No. of Patient"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CB94BA-BBDE-4700-A890-E52DCD7A6139}" name="PivotTable1" cacheId="45"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58">
  <location ref="A34:C3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1" subtotal="count" baseField="0" baseItem="0"/>
    <dataField name="% of Patient Id2"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5">
    <format dxfId="60">
      <pivotArea outline="0" collapsedLevelsAreSubtotals="1" fieldPosition="0"/>
    </format>
    <format dxfId="59">
      <pivotArea grandRow="1" outline="0" collapsedLevelsAreSubtotals="1" fieldPosition="0"/>
    </format>
    <format dxfId="58">
      <pivotArea collapsedLevelsAreSubtotals="1" fieldPosition="0">
        <references count="1">
          <reference field="2" count="1">
            <x v="0"/>
          </reference>
        </references>
      </pivotArea>
    </format>
    <format dxfId="57">
      <pivotArea collapsedLevelsAreSubtotals="1" fieldPosition="0">
        <references count="1">
          <reference field="2" count="1">
            <x v="1"/>
          </reference>
        </references>
      </pivotArea>
    </format>
    <format dxfId="56">
      <pivotArea outline="0" fieldPosition="0">
        <references count="1">
          <reference field="4294967294" count="1">
            <x v="1"/>
          </reference>
        </references>
      </pivotArea>
    </format>
  </formats>
  <chartFormats count="40">
    <chartFormat chart="19"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pivotArea type="data" outline="0" fieldPosition="0">
        <references count="2">
          <reference field="4294967294" count="1" selected="0">
            <x v="0"/>
          </reference>
          <reference field="2" count="1" selected="0">
            <x v="0"/>
          </reference>
        </references>
      </pivotArea>
    </chartFormat>
    <chartFormat chart="45" format="3">
      <pivotArea type="data" outline="0" fieldPosition="0">
        <references count="2">
          <reference field="4294967294" count="1" selected="0">
            <x v="0"/>
          </reference>
          <reference field="2" count="1" selected="0">
            <x v="1"/>
          </reference>
        </references>
      </pivotArea>
    </chartFormat>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2" count="1" selected="0">
            <x v="0"/>
          </reference>
        </references>
      </pivotArea>
    </chartFormat>
    <chartFormat chart="51" format="12">
      <pivotArea type="data" outline="0" fieldPosition="0">
        <references count="2">
          <reference field="4294967294" count="1" selected="0">
            <x v="0"/>
          </reference>
          <reference field="2" count="1" selected="0">
            <x v="1"/>
          </reference>
        </references>
      </pivotArea>
    </chartFormat>
    <chartFormat chart="51" format="13" series="1">
      <pivotArea type="data" outline="0" fieldPosition="0">
        <references count="1">
          <reference field="4294967294" count="1" selected="0">
            <x v="1"/>
          </reference>
        </references>
      </pivotArea>
    </chartFormat>
    <chartFormat chart="51" format="14">
      <pivotArea type="data" outline="0" fieldPosition="0">
        <references count="2">
          <reference field="4294967294" count="1" selected="0">
            <x v="1"/>
          </reference>
          <reference field="2" count="1" selected="0">
            <x v="0"/>
          </reference>
        </references>
      </pivotArea>
    </chartFormat>
    <chartFormat chart="51" format="15">
      <pivotArea type="data" outline="0" fieldPosition="0">
        <references count="2">
          <reference field="4294967294" count="1" selected="0">
            <x v="1"/>
          </reference>
          <reference field="2" count="1" selected="0">
            <x v="1"/>
          </reference>
        </references>
      </pivotArea>
    </chartFormat>
    <chartFormat chart="54" format="10" series="1">
      <pivotArea type="data" outline="0" fieldPosition="0">
        <references count="1">
          <reference field="4294967294" count="1" selected="0">
            <x v="0"/>
          </reference>
        </references>
      </pivotArea>
    </chartFormat>
    <chartFormat chart="54" format="11">
      <pivotArea type="data" outline="0" fieldPosition="0">
        <references count="2">
          <reference field="4294967294" count="1" selected="0">
            <x v="0"/>
          </reference>
          <reference field="2" count="1" selected="0">
            <x v="0"/>
          </reference>
        </references>
      </pivotArea>
    </chartFormat>
    <chartFormat chart="54" format="12">
      <pivotArea type="data" outline="0" fieldPosition="0">
        <references count="2">
          <reference field="4294967294" count="1" selected="0">
            <x v="0"/>
          </reference>
          <reference field="2" count="1" selected="0">
            <x v="1"/>
          </reference>
        </references>
      </pivotArea>
    </chartFormat>
    <chartFormat chart="54" format="13" series="1">
      <pivotArea type="data" outline="0" fieldPosition="0">
        <references count="1">
          <reference field="4294967294" count="1" selected="0">
            <x v="1"/>
          </reference>
        </references>
      </pivotArea>
    </chartFormat>
    <chartFormat chart="54" format="14">
      <pivotArea type="data" outline="0" fieldPosition="0">
        <references count="2">
          <reference field="4294967294" count="1" selected="0">
            <x v="1"/>
          </reference>
          <reference field="2" count="1" selected="0">
            <x v="0"/>
          </reference>
        </references>
      </pivotArea>
    </chartFormat>
    <chartFormat chart="54" format="15">
      <pivotArea type="data" outline="0" fieldPosition="0">
        <references count="2">
          <reference field="4294967294" count="1" selected="0">
            <x v="1"/>
          </reference>
          <reference field="2" count="1" selected="0">
            <x v="1"/>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2" count="1" selected="0">
            <x v="0"/>
          </reference>
        </references>
      </pivotArea>
    </chartFormat>
    <chartFormat chart="56" format="4">
      <pivotArea type="data" outline="0" fieldPosition="0">
        <references count="2">
          <reference field="4294967294" count="1" selected="0">
            <x v="0"/>
          </reference>
          <reference field="2" count="1" selected="0">
            <x v="1"/>
          </reference>
        </references>
      </pivotArea>
    </chartFormat>
    <chartFormat chart="56" format="5" series="1">
      <pivotArea type="data" outline="0" fieldPosition="0">
        <references count="1">
          <reference field="4294967294" count="1" selected="0">
            <x v="1"/>
          </reference>
        </references>
      </pivotArea>
    </chartFormat>
    <chartFormat chart="56" format="6">
      <pivotArea type="data" outline="0" fieldPosition="0">
        <references count="2">
          <reference field="4294967294" count="1" selected="0">
            <x v="1"/>
          </reference>
          <reference field="2" count="1" selected="0">
            <x v="0"/>
          </reference>
        </references>
      </pivotArea>
    </chartFormat>
    <chartFormat chart="56" format="7">
      <pivotArea type="data" outline="0" fieldPosition="0">
        <references count="2">
          <reference field="4294967294" count="1" selected="0">
            <x v="1"/>
          </reference>
          <reference field="2" count="1" selected="0">
            <x v="1"/>
          </reference>
        </references>
      </pivotArea>
    </chartFormat>
    <chartFormat chart="57" format="8" series="1">
      <pivotArea type="data" outline="0" fieldPosition="0">
        <references count="1">
          <reference field="4294967294" count="1" selected="0">
            <x v="0"/>
          </reference>
        </references>
      </pivotArea>
    </chartFormat>
    <chartFormat chart="57" format="9">
      <pivotArea type="data" outline="0" fieldPosition="0">
        <references count="2">
          <reference field="4294967294" count="1" selected="0">
            <x v="0"/>
          </reference>
          <reference field="2" count="1" selected="0">
            <x v="0"/>
          </reference>
        </references>
      </pivotArea>
    </chartFormat>
    <chartFormat chart="57" format="10">
      <pivotArea type="data" outline="0" fieldPosition="0">
        <references count="2">
          <reference field="4294967294" count="1" selected="0">
            <x v="0"/>
          </reference>
          <reference field="2" count="1" selected="0">
            <x v="1"/>
          </reference>
        </references>
      </pivotArea>
    </chartFormat>
    <chartFormat chart="57" format="11" series="1">
      <pivotArea type="data" outline="0" fieldPosition="0">
        <references count="1">
          <reference field="4294967294" count="1" selected="0">
            <x v="1"/>
          </reference>
        </references>
      </pivotArea>
    </chartFormat>
    <chartFormat chart="57" format="12">
      <pivotArea type="data" outline="0" fieldPosition="0">
        <references count="2">
          <reference field="4294967294" count="1" selected="0">
            <x v="1"/>
          </reference>
          <reference field="2" count="1" selected="0">
            <x v="0"/>
          </reference>
        </references>
      </pivotArea>
    </chartFormat>
    <chartFormat chart="57" format="13">
      <pivotArea type="data" outline="0" fieldPosition="0">
        <references count="2">
          <reference field="4294967294" count="1" selected="0">
            <x v="1"/>
          </reference>
          <reference field="2" count="1" selected="0">
            <x v="1"/>
          </reference>
        </references>
      </pivotArea>
    </chartFormat>
    <chartFormat chart="55" format="2">
      <pivotArea type="data" outline="0" fieldPosition="0">
        <references count="2">
          <reference field="4294967294" count="1" selected="0">
            <x v="0"/>
          </reference>
          <reference field="2" count="1" selected="0">
            <x v="0"/>
          </reference>
        </references>
      </pivotArea>
    </chartFormat>
    <chartFormat chart="55" format="3">
      <pivotArea type="data" outline="0" fieldPosition="0">
        <references count="2">
          <reference field="4294967294" count="1" selected="0">
            <x v="0"/>
          </reference>
          <reference field="2" count="1" selected="0">
            <x v="1"/>
          </reference>
        </references>
      </pivotArea>
    </chartFormat>
    <chartFormat chart="55" format="4">
      <pivotArea type="data" outline="0" fieldPosition="0">
        <references count="2">
          <reference field="4294967294" count="1" selected="0">
            <x v="1"/>
          </reference>
          <reference field="2" count="1" selected="0">
            <x v="0"/>
          </reference>
        </references>
      </pivotArea>
    </chartFormat>
    <chartFormat chart="55" format="5">
      <pivotArea type="data" outline="0" fieldPosition="0">
        <references count="2">
          <reference field="4294967294" count="1" selected="0">
            <x v="1"/>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Patient Id2"/>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4EEBCA-1488-495B-9C29-818C25F50A9C}" name="PivotTable9" cacheId="2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formats count="1">
    <format dxfId="61">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88104A-77CF-49CE-BB48-366F9063B191}" name="PivotTable22" cacheId="42"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80">
  <location ref="B4:C1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2">
    <format dxfId="43">
      <pivotArea outline="0" collapsedLevelsAreSubtotals="1" fieldPosition="0"/>
    </format>
    <format dxfId="42">
      <pivotArea grandRow="1" outline="0" collapsedLevelsAreSubtotals="1" fieldPosition="0"/>
    </format>
  </formats>
  <chartFormats count="17">
    <chartFormat chart="19"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51" format="10" series="1">
      <pivotArea type="data" outline="0" fieldPosition="0">
        <references count="1">
          <reference field="4294967294" count="1" selected="0">
            <x v="0"/>
          </reference>
        </references>
      </pivotArea>
    </chartFormat>
    <chartFormat chart="54" format="1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6" format="4"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1" series="1">
      <pivotArea type="data" outline="0" fieldPosition="0">
        <references count="1">
          <reference field="4294967294" count="1" selected="0">
            <x v="0"/>
          </reference>
        </references>
      </pivotArea>
    </chartFormat>
    <chartFormat chart="76" format="2" series="1">
      <pivotArea type="data" outline="0" fieldPosition="0">
        <references count="1">
          <reference field="4294967294" count="1" selected="0">
            <x v="0"/>
          </reference>
        </references>
      </pivotArea>
    </chartFormat>
    <chartFormat chart="76" format="3">
      <pivotArea type="data" outline="0" fieldPosition="0">
        <references count="2">
          <reference field="4294967294" count="1" selected="0">
            <x v="0"/>
          </reference>
          <reference field="2" count="1" selected="0">
            <x v="4"/>
          </reference>
        </references>
      </pivotArea>
    </chartFormat>
    <chartFormat chart="79"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percent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caption="Min of Patient Satisfaction Score"/>
    <pivotHierarchy dragToData="1" caption="Max of Patient Satisfaction Scor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232B02-D558-4A43-999B-75C1DD3361B1}" name="PivotTable16" cacheId="33"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67">
  <location ref="A2:C10"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8">
    <i>
      <x/>
    </i>
    <i>
      <x v="1"/>
    </i>
    <i>
      <x v="2"/>
    </i>
    <i>
      <x v="3"/>
    </i>
    <i>
      <x v="4"/>
    </i>
    <i>
      <x v="5"/>
    </i>
    <i>
      <x v="6"/>
    </i>
    <i t="grand">
      <x/>
    </i>
  </rowItems>
  <colFields count="1">
    <field x="-2"/>
  </colFields>
  <colItems count="2">
    <i>
      <x/>
    </i>
    <i i="1">
      <x v="1"/>
    </i>
  </colItems>
  <dataFields count="2">
    <dataField name="Count of Patient Id" fld="1" subtotal="count" baseField="0" baseItem="0"/>
    <dataField name="Count of Patient percentage"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3">
    <format dxfId="41">
      <pivotArea outline="0" collapsedLevelsAreSubtotals="1" fieldPosition="0"/>
    </format>
    <format dxfId="40">
      <pivotArea grandRow="1" outline="0" collapsedLevelsAreSubtotals="1" fieldPosition="0"/>
    </format>
    <format dxfId="39">
      <pivotArea outline="0" fieldPosition="0">
        <references count="1">
          <reference field="4294967294" count="1">
            <x v="1"/>
          </reference>
        </references>
      </pivotArea>
    </format>
  </formats>
  <chartFormats count="48">
    <chartFormat chart="19"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51" format="10"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 chart="54" format="10"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9" format="8" series="1">
      <pivotArea type="data" outline="0" fieldPosition="0">
        <references count="1">
          <reference field="4294967294" count="1" selected="0">
            <x v="0"/>
          </reference>
        </references>
      </pivotArea>
    </chartFormat>
    <chartFormat chart="59" format="11" series="1">
      <pivotArea type="data" outline="0" fieldPosition="0">
        <references count="1">
          <reference field="4294967294" count="1" selected="0">
            <x v="1"/>
          </reference>
        </references>
      </pivotArea>
    </chartFormat>
    <chartFormat chart="60"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1"/>
          </reference>
        </references>
      </pivotArea>
    </chartFormat>
    <chartFormat chart="66" format="50" series="1">
      <pivotArea type="data" outline="0" fieldPosition="0">
        <references count="1">
          <reference field="4294967294" count="1" selected="0">
            <x v="0"/>
          </reference>
        </references>
      </pivotArea>
    </chartFormat>
    <chartFormat chart="66" format="51">
      <pivotArea type="data" outline="0" fieldPosition="0">
        <references count="2">
          <reference field="4294967294" count="1" selected="0">
            <x v="0"/>
          </reference>
          <reference field="2" count="1" selected="0">
            <x v="0"/>
          </reference>
        </references>
      </pivotArea>
    </chartFormat>
    <chartFormat chart="66" format="52">
      <pivotArea type="data" outline="0" fieldPosition="0">
        <references count="2">
          <reference field="4294967294" count="1" selected="0">
            <x v="0"/>
          </reference>
          <reference field="2" count="1" selected="0">
            <x v="1"/>
          </reference>
        </references>
      </pivotArea>
    </chartFormat>
    <chartFormat chart="66" format="53">
      <pivotArea type="data" outline="0" fieldPosition="0">
        <references count="2">
          <reference field="4294967294" count="1" selected="0">
            <x v="0"/>
          </reference>
          <reference field="2" count="1" selected="0">
            <x v="2"/>
          </reference>
        </references>
      </pivotArea>
    </chartFormat>
    <chartFormat chart="66" format="54">
      <pivotArea type="data" outline="0" fieldPosition="0">
        <references count="2">
          <reference field="4294967294" count="1" selected="0">
            <x v="0"/>
          </reference>
          <reference field="2" count="1" selected="0">
            <x v="3"/>
          </reference>
        </references>
      </pivotArea>
    </chartFormat>
    <chartFormat chart="66" format="55">
      <pivotArea type="data" outline="0" fieldPosition="0">
        <references count="2">
          <reference field="4294967294" count="1" selected="0">
            <x v="0"/>
          </reference>
          <reference field="2" count="1" selected="0">
            <x v="4"/>
          </reference>
        </references>
      </pivotArea>
    </chartFormat>
    <chartFormat chart="66" format="56">
      <pivotArea type="data" outline="0" fieldPosition="0">
        <references count="2">
          <reference field="4294967294" count="1" selected="0">
            <x v="0"/>
          </reference>
          <reference field="2" count="1" selected="0">
            <x v="5"/>
          </reference>
        </references>
      </pivotArea>
    </chartFormat>
    <chartFormat chart="66" format="57">
      <pivotArea type="data" outline="0" fieldPosition="0">
        <references count="2">
          <reference field="4294967294" count="1" selected="0">
            <x v="0"/>
          </reference>
          <reference field="2" count="1" selected="0">
            <x v="6"/>
          </reference>
        </references>
      </pivotArea>
    </chartFormat>
    <chartFormat chart="66" format="58" series="1">
      <pivotArea type="data" outline="0" fieldPosition="0">
        <references count="1">
          <reference field="4294967294" count="1" selected="0">
            <x v="1"/>
          </reference>
        </references>
      </pivotArea>
    </chartFormat>
    <chartFormat chart="66" format="59">
      <pivotArea type="data" outline="0" fieldPosition="0">
        <references count="2">
          <reference field="4294967294" count="1" selected="0">
            <x v="1"/>
          </reference>
          <reference field="2" count="1" selected="0">
            <x v="0"/>
          </reference>
        </references>
      </pivotArea>
    </chartFormat>
    <chartFormat chart="66" format="60">
      <pivotArea type="data" outline="0" fieldPosition="0">
        <references count="2">
          <reference field="4294967294" count="1" selected="0">
            <x v="1"/>
          </reference>
          <reference field="2" count="1" selected="0">
            <x v="1"/>
          </reference>
        </references>
      </pivotArea>
    </chartFormat>
    <chartFormat chart="66" format="61">
      <pivotArea type="data" outline="0" fieldPosition="0">
        <references count="2">
          <reference field="4294967294" count="1" selected="0">
            <x v="1"/>
          </reference>
          <reference field="2" count="1" selected="0">
            <x v="2"/>
          </reference>
        </references>
      </pivotArea>
    </chartFormat>
    <chartFormat chart="66" format="62">
      <pivotArea type="data" outline="0" fieldPosition="0">
        <references count="2">
          <reference field="4294967294" count="1" selected="0">
            <x v="1"/>
          </reference>
          <reference field="2" count="1" selected="0">
            <x v="3"/>
          </reference>
        </references>
      </pivotArea>
    </chartFormat>
    <chartFormat chart="66" format="63">
      <pivotArea type="data" outline="0" fieldPosition="0">
        <references count="2">
          <reference field="4294967294" count="1" selected="0">
            <x v="1"/>
          </reference>
          <reference field="2" count="1" selected="0">
            <x v="4"/>
          </reference>
        </references>
      </pivotArea>
    </chartFormat>
    <chartFormat chart="66" format="64">
      <pivotArea type="data" outline="0" fieldPosition="0">
        <references count="2">
          <reference field="4294967294" count="1" selected="0">
            <x v="1"/>
          </reference>
          <reference field="2" count="1" selected="0">
            <x v="5"/>
          </reference>
        </references>
      </pivotArea>
    </chartFormat>
    <chartFormat chart="66" format="65">
      <pivotArea type="data" outline="0" fieldPosition="0">
        <references count="2">
          <reference field="4294967294" count="1" selected="0">
            <x v="1"/>
          </reference>
          <reference field="2" count="1" selected="0">
            <x v="6"/>
          </reference>
        </references>
      </pivotArea>
    </chartFormat>
    <chartFormat chart="60" format="2">
      <pivotArea type="data" outline="0" fieldPosition="0">
        <references count="2">
          <reference field="4294967294" count="1" selected="0">
            <x v="0"/>
          </reference>
          <reference field="2" count="1" selected="0">
            <x v="0"/>
          </reference>
        </references>
      </pivotArea>
    </chartFormat>
    <chartFormat chart="60" format="3">
      <pivotArea type="data" outline="0" fieldPosition="0">
        <references count="2">
          <reference field="4294967294" count="1" selected="0">
            <x v="0"/>
          </reference>
          <reference field="2" count="1" selected="0">
            <x v="1"/>
          </reference>
        </references>
      </pivotArea>
    </chartFormat>
    <chartFormat chart="60" format="4">
      <pivotArea type="data" outline="0" fieldPosition="0">
        <references count="2">
          <reference field="4294967294" count="1" selected="0">
            <x v="0"/>
          </reference>
          <reference field="2" count="1" selected="0">
            <x v="2"/>
          </reference>
        </references>
      </pivotArea>
    </chartFormat>
    <chartFormat chart="60" format="5">
      <pivotArea type="data" outline="0" fieldPosition="0">
        <references count="2">
          <reference field="4294967294" count="1" selected="0">
            <x v="0"/>
          </reference>
          <reference field="2" count="1" selected="0">
            <x v="3"/>
          </reference>
        </references>
      </pivotArea>
    </chartFormat>
    <chartFormat chart="60" format="6">
      <pivotArea type="data" outline="0" fieldPosition="0">
        <references count="2">
          <reference field="4294967294" count="1" selected="0">
            <x v="0"/>
          </reference>
          <reference field="2" count="1" selected="0">
            <x v="4"/>
          </reference>
        </references>
      </pivotArea>
    </chartFormat>
    <chartFormat chart="60" format="7">
      <pivotArea type="data" outline="0" fieldPosition="0">
        <references count="2">
          <reference field="4294967294" count="1" selected="0">
            <x v="0"/>
          </reference>
          <reference field="2" count="1" selected="0">
            <x v="5"/>
          </reference>
        </references>
      </pivotArea>
    </chartFormat>
    <chartFormat chart="60" format="8">
      <pivotArea type="data" outline="0" fieldPosition="0">
        <references count="2">
          <reference field="4294967294" count="1" selected="0">
            <x v="0"/>
          </reference>
          <reference field="2" count="1" selected="0">
            <x v="6"/>
          </reference>
        </references>
      </pivotArea>
    </chartFormat>
    <chartFormat chart="60" format="9">
      <pivotArea type="data" outline="0" fieldPosition="0">
        <references count="2">
          <reference field="4294967294" count="1" selected="0">
            <x v="1"/>
          </reference>
          <reference field="2" count="1" selected="0">
            <x v="0"/>
          </reference>
        </references>
      </pivotArea>
    </chartFormat>
    <chartFormat chart="60" format="10">
      <pivotArea type="data" outline="0" fieldPosition="0">
        <references count="2">
          <reference field="4294967294" count="1" selected="0">
            <x v="1"/>
          </reference>
          <reference field="2" count="1" selected="0">
            <x v="1"/>
          </reference>
        </references>
      </pivotArea>
    </chartFormat>
    <chartFormat chart="60" format="11">
      <pivotArea type="data" outline="0" fieldPosition="0">
        <references count="2">
          <reference field="4294967294" count="1" selected="0">
            <x v="1"/>
          </reference>
          <reference field="2" count="1" selected="0">
            <x v="2"/>
          </reference>
        </references>
      </pivotArea>
    </chartFormat>
    <chartFormat chart="60" format="12">
      <pivotArea type="data" outline="0" fieldPosition="0">
        <references count="2">
          <reference field="4294967294" count="1" selected="0">
            <x v="1"/>
          </reference>
          <reference field="2" count="1" selected="0">
            <x v="3"/>
          </reference>
        </references>
      </pivotArea>
    </chartFormat>
    <chartFormat chart="60" format="13">
      <pivotArea type="data" outline="0" fieldPosition="0">
        <references count="2">
          <reference field="4294967294" count="1" selected="0">
            <x v="1"/>
          </reference>
          <reference field="2" count="1" selected="0">
            <x v="4"/>
          </reference>
        </references>
      </pivotArea>
    </chartFormat>
    <chartFormat chart="60" format="14">
      <pivotArea type="data" outline="0" fieldPosition="0">
        <references count="2">
          <reference field="4294967294" count="1" selected="0">
            <x v="1"/>
          </reference>
          <reference field="2" count="1" selected="0">
            <x v="5"/>
          </reference>
        </references>
      </pivotArea>
    </chartFormat>
    <chartFormat chart="60" format="15">
      <pivotArea type="data" outline="0" fieldPosition="0">
        <references count="2">
          <reference field="4294967294" count="1" selected="0">
            <x v="1"/>
          </reference>
          <reference field="2" count="1" selected="0">
            <x v="6"/>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percent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6DC7F8-9AB7-4187-9DF6-89D3F183B509}" name="PivotTable20" cacheId="36"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55">
  <location ref="J3:L6"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1" subtotal="count" baseField="0" baseItem="0"/>
    <dataField name="Count of Patient Id2"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5">
    <format dxfId="38">
      <pivotArea outline="0" collapsedLevelsAreSubtotals="1" fieldPosition="0"/>
    </format>
    <format dxfId="37">
      <pivotArea grandRow="1" outline="0" collapsedLevelsAreSubtotals="1" fieldPosition="0"/>
    </format>
    <format dxfId="36">
      <pivotArea collapsedLevelsAreSubtotals="1" fieldPosition="0">
        <references count="1">
          <reference field="2" count="1">
            <x v="0"/>
          </reference>
        </references>
      </pivotArea>
    </format>
    <format dxfId="35">
      <pivotArea collapsedLevelsAreSubtotals="1" fieldPosition="0">
        <references count="1">
          <reference field="2" count="1">
            <x v="1"/>
          </reference>
        </references>
      </pivotArea>
    </format>
    <format dxfId="34">
      <pivotArea outline="0" fieldPosition="0">
        <references count="1">
          <reference field="4294967294" count="1">
            <x v="1"/>
          </reference>
        </references>
      </pivotArea>
    </format>
  </formats>
  <chartFormats count="22">
    <chartFormat chart="19"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pivotArea type="data" outline="0" fieldPosition="0">
        <references count="2">
          <reference field="4294967294" count="1" selected="0">
            <x v="0"/>
          </reference>
          <reference field="2" count="1" selected="0">
            <x v="0"/>
          </reference>
        </references>
      </pivotArea>
    </chartFormat>
    <chartFormat chart="45" format="3">
      <pivotArea type="data" outline="0" fieldPosition="0">
        <references count="2">
          <reference field="4294967294" count="1" selected="0">
            <x v="0"/>
          </reference>
          <reference field="2" count="1" selected="0">
            <x v="1"/>
          </reference>
        </references>
      </pivotArea>
    </chartFormat>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2" count="1" selected="0">
            <x v="0"/>
          </reference>
        </references>
      </pivotArea>
    </chartFormat>
    <chartFormat chart="51" format="12">
      <pivotArea type="data" outline="0" fieldPosition="0">
        <references count="2">
          <reference field="4294967294" count="1" selected="0">
            <x v="0"/>
          </reference>
          <reference field="2" count="1" selected="0">
            <x v="1"/>
          </reference>
        </references>
      </pivotArea>
    </chartFormat>
    <chartFormat chart="51" format="13" series="1">
      <pivotArea type="data" outline="0" fieldPosition="0">
        <references count="1">
          <reference field="4294967294" count="1" selected="0">
            <x v="1"/>
          </reference>
        </references>
      </pivotArea>
    </chartFormat>
    <chartFormat chart="51" format="14">
      <pivotArea type="data" outline="0" fieldPosition="0">
        <references count="2">
          <reference field="4294967294" count="1" selected="0">
            <x v="1"/>
          </reference>
          <reference field="2" count="1" selected="0">
            <x v="0"/>
          </reference>
        </references>
      </pivotArea>
    </chartFormat>
    <chartFormat chart="51" format="15">
      <pivotArea type="data" outline="0" fieldPosition="0">
        <references count="2">
          <reference field="4294967294" count="1" selected="0">
            <x v="1"/>
          </reference>
          <reference field="2" count="1" selected="0">
            <x v="1"/>
          </reference>
        </references>
      </pivotArea>
    </chartFormat>
    <chartFormat chart="54" format="10" series="1">
      <pivotArea type="data" outline="0" fieldPosition="0">
        <references count="1">
          <reference field="4294967294" count="1" selected="0">
            <x v="0"/>
          </reference>
        </references>
      </pivotArea>
    </chartFormat>
    <chartFormat chart="54" format="11">
      <pivotArea type="data" outline="0" fieldPosition="0">
        <references count="2">
          <reference field="4294967294" count="1" selected="0">
            <x v="0"/>
          </reference>
          <reference field="2" count="1" selected="0">
            <x v="0"/>
          </reference>
        </references>
      </pivotArea>
    </chartFormat>
    <chartFormat chart="54" format="12">
      <pivotArea type="data" outline="0" fieldPosition="0">
        <references count="2">
          <reference field="4294967294" count="1" selected="0">
            <x v="0"/>
          </reference>
          <reference field="2" count="1" selected="0">
            <x v="1"/>
          </reference>
        </references>
      </pivotArea>
    </chartFormat>
    <chartFormat chart="54" format="13" series="1">
      <pivotArea type="data" outline="0" fieldPosition="0">
        <references count="1">
          <reference field="4294967294" count="1" selected="0">
            <x v="1"/>
          </reference>
        </references>
      </pivotArea>
    </chartFormat>
    <chartFormat chart="54" format="14">
      <pivotArea type="data" outline="0" fieldPosition="0">
        <references count="2">
          <reference field="4294967294" count="1" selected="0">
            <x v="1"/>
          </reference>
          <reference field="2" count="1" selected="0">
            <x v="0"/>
          </reference>
        </references>
      </pivotArea>
    </chartFormat>
    <chartFormat chart="54" format="15">
      <pivotArea type="data" outline="0" fieldPosition="0">
        <references count="2">
          <reference field="4294967294" count="1" selected="0">
            <x v="1"/>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2"/>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9F6F69-4F27-40B6-AE5E-2836735F3631}" name="PivotTable21" cacheId="39"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chartFormat="54">
  <location ref="K7:L1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3">
    <format dxfId="33">
      <pivotArea outline="0" collapsedLevelsAreSubtotals="1" fieldPosition="0"/>
    </format>
    <format dxfId="32">
      <pivotArea grandRow="1" outline="0" collapsedLevelsAreSubtotals="1" fieldPosition="0"/>
    </format>
    <format dxfId="31">
      <pivotArea collapsedLevelsAreSubtotals="1" fieldPosition="0">
        <references count="1">
          <reference field="1" count="0"/>
        </references>
      </pivotArea>
    </format>
  </formats>
  <chartFormats count="5">
    <chartFormat chart="27" format="3"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9" format="9" series="1">
      <pivotArea type="data" outline="0" fieldPosition="0">
        <references count="1">
          <reference field="4294967294" count="1" selected="0">
            <x v="0"/>
          </reference>
        </references>
      </pivotArea>
    </chartFormat>
    <chartFormat chart="53" format="11"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 Admission Date].[Date (Month)].&amp;[Nov]"/>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Min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Patient Admission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3F4CEA8-77F8-4038-B755-7FFC2A3C1731}" sourceName="[Patient Admission Date].[Date (Month)]">
  <pivotTables>
    <pivotTable tabId="12" name="PivotTable7"/>
    <pivotTable tabId="12" name="PivotTable10"/>
    <pivotTable tabId="12" name="PivotTable8"/>
    <pivotTable tabId="12" name="PivotTable9"/>
    <pivotTable tabId="12" name="PivotTable11"/>
    <pivotTable tabId="12" name="PivotTable15"/>
    <pivotTable tabId="26" name="PivotTable16"/>
    <pivotTable tabId="25" name="PivotTable20"/>
    <pivotTable tabId="23" name="PivotTable21"/>
    <pivotTable tabId="27" name="PivotTable22"/>
    <pivotTable tabId="12" name="PivotTable1"/>
    <pivotTable tabId="12" name="PivotTable2"/>
  </pivotTables>
  <data>
    <olap pivotCacheId="1586023903">
      <levels count="2">
        <level uniqueName="[Patient Admission Date].[Date (Month)].[(All)]" sourceCaption="(All)" count="0"/>
        <level uniqueName="[Patient Admission Date].[Date (Month)].[Date (Month)]" sourceCaption="Date (Month)" count="12">
          <ranges>
            <range startItem="0">
              <i n="[Patient Admission Date].[Date (Month)].&amp;[Jan]" c="Jan"/>
              <i n="[Patient Admission Date].[Date (Month)].&amp;[Feb]" c="Feb"/>
              <i n="[Patient Admission Date].[Date (Month)].&amp;[Mar]" c="Mar"/>
              <i n="[Patient Admission Date].[Date (Month)].&amp;[Apr]" c="Apr"/>
              <i n="[Patient Admission Date].[Date (Month)].&amp;[May]" c="May"/>
              <i n="[Patient Admission Date].[Date (Month)].&amp;[Jun]" c="Jun"/>
              <i n="[Patient Admission Date].[Date (Month)].&amp;[Jul]" c="Jul"/>
              <i n="[Patient Admission Date].[Date (Month)].&amp;[Aug]" c="Aug"/>
              <i n="[Patient Admission Date].[Date (Month)].&amp;[Sep]" c="Sep"/>
              <i n="[Patient Admission Date].[Date (Month)].&amp;[Oct]" c="Oct"/>
              <i n="[Patient Admission Date].[Date (Month)].&amp;[Nov]" c="Nov"/>
              <i n="[Patient Admission Date].[Date (Month)].&amp;[Dec]" c="Dec"/>
            </range>
          </ranges>
        </level>
      </levels>
      <selections count="1">
        <selection n="[Patient Admission Date].[Date (Month)].&amp;[Nov]"/>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7CD74DE-2511-4F86-A322-EA0DAE34D303}" cache="Slicer_Date__Month"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B279FB6-F6DF-4AD2-9F0F-393C76BC5856}" cache="Slicer_Date__Month" caption="Date (Month)" startItem="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view="pageBreakPreview" zoomScale="130" zoomScaleNormal="100" zoomScaleSheetLayoutView="130" workbookViewId="0">
      <selection activeCell="M25" sqref="M25"/>
    </sheetView>
  </sheetViews>
  <sheetFormatPr defaultRowHeight="14.4" x14ac:dyDescent="0.3"/>
  <cols>
    <col min="1" max="16384" width="8.88671875" style="4"/>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C279-2318-4171-9FF0-A15D5C3767C0}">
  <dimension ref="A8:S52"/>
  <sheetViews>
    <sheetView topLeftCell="L30" workbookViewId="0">
      <selection activeCell="L48" sqref="L48"/>
    </sheetView>
  </sheetViews>
  <sheetFormatPr defaultRowHeight="14.4" x14ac:dyDescent="0.3"/>
  <cols>
    <col min="1" max="1" width="25" bestFit="1" customWidth="1"/>
    <col min="2" max="2" width="17.44140625" customWidth="1"/>
    <col min="3" max="3" width="16.77734375" customWidth="1"/>
    <col min="4" max="4" width="29.109375" customWidth="1"/>
    <col min="5" max="5" width="28.109375" customWidth="1"/>
    <col min="6" max="6" width="12.5546875" bestFit="1" customWidth="1"/>
    <col min="7" max="7" width="12.6640625" bestFit="1" customWidth="1"/>
    <col min="8" max="10" width="5" bestFit="1" customWidth="1"/>
    <col min="11" max="11" width="10.77734375" bestFit="1" customWidth="1"/>
    <col min="12" max="12" width="22.6640625" customWidth="1"/>
    <col min="13" max="13" width="28.33203125" customWidth="1"/>
    <col min="14" max="586" width="10.77734375" bestFit="1" customWidth="1"/>
  </cols>
  <sheetData>
    <row r="8" spans="1:7" x14ac:dyDescent="0.3">
      <c r="A8" t="s">
        <v>0</v>
      </c>
      <c r="F8" s="3" t="s">
        <v>21</v>
      </c>
      <c r="G8" t="s">
        <v>0</v>
      </c>
    </row>
    <row r="9" spans="1:7" x14ac:dyDescent="0.3">
      <c r="A9" s="1">
        <v>464</v>
      </c>
      <c r="F9" s="5" t="s">
        <v>42</v>
      </c>
      <c r="G9" s="1">
        <v>17</v>
      </c>
    </row>
    <row r="10" spans="1:7" x14ac:dyDescent="0.3">
      <c r="F10" s="5" t="s">
        <v>43</v>
      </c>
      <c r="G10" s="1">
        <v>12</v>
      </c>
    </row>
    <row r="11" spans="1:7" x14ac:dyDescent="0.3">
      <c r="A11" t="s">
        <v>2</v>
      </c>
      <c r="F11" s="5" t="s">
        <v>44</v>
      </c>
      <c r="G11" s="1">
        <v>14</v>
      </c>
    </row>
    <row r="12" spans="1:7" x14ac:dyDescent="0.3">
      <c r="A12" s="2">
        <v>5.0928571428571425</v>
      </c>
      <c r="F12" s="5" t="s">
        <v>45</v>
      </c>
      <c r="G12" s="1">
        <v>17</v>
      </c>
    </row>
    <row r="13" spans="1:7" x14ac:dyDescent="0.3">
      <c r="F13" s="5" t="s">
        <v>46</v>
      </c>
      <c r="G13" s="1">
        <v>17</v>
      </c>
    </row>
    <row r="14" spans="1:7" x14ac:dyDescent="0.3">
      <c r="A14" t="s">
        <v>1</v>
      </c>
      <c r="F14" s="5" t="s">
        <v>47</v>
      </c>
      <c r="G14" s="1">
        <v>16</v>
      </c>
    </row>
    <row r="15" spans="1:7" x14ac:dyDescent="0.3">
      <c r="A15" s="2">
        <v>35.185344827586206</v>
      </c>
      <c r="F15" s="5" t="s">
        <v>48</v>
      </c>
      <c r="G15" s="1">
        <v>19</v>
      </c>
    </row>
    <row r="16" spans="1:7" x14ac:dyDescent="0.3">
      <c r="F16" s="5" t="s">
        <v>49</v>
      </c>
      <c r="G16" s="1">
        <v>14</v>
      </c>
    </row>
    <row r="17" spans="1:7" x14ac:dyDescent="0.3">
      <c r="A17" s="3" t="s">
        <v>21</v>
      </c>
      <c r="B17" t="s">
        <v>35</v>
      </c>
      <c r="C17" t="s">
        <v>36</v>
      </c>
      <c r="F17" s="5" t="s">
        <v>50</v>
      </c>
      <c r="G17" s="1">
        <v>17</v>
      </c>
    </row>
    <row r="18" spans="1:7" x14ac:dyDescent="0.3">
      <c r="A18" s="5" t="s">
        <v>7</v>
      </c>
      <c r="B18" s="2">
        <v>231</v>
      </c>
      <c r="C18" s="6">
        <v>0.49784482758620691</v>
      </c>
      <c r="D18" s="6"/>
      <c r="E18" s="2"/>
      <c r="F18" s="5" t="s">
        <v>51</v>
      </c>
      <c r="G18" s="1">
        <v>13</v>
      </c>
    </row>
    <row r="19" spans="1:7" x14ac:dyDescent="0.3">
      <c r="A19" s="5" t="s">
        <v>19</v>
      </c>
      <c r="B19" s="2">
        <v>233</v>
      </c>
      <c r="C19" s="6">
        <v>0.50215517241379315</v>
      </c>
      <c r="D19" s="6"/>
      <c r="E19" s="2"/>
      <c r="F19" s="5" t="s">
        <v>52</v>
      </c>
      <c r="G19" s="1">
        <v>12</v>
      </c>
    </row>
    <row r="20" spans="1:7" x14ac:dyDescent="0.3">
      <c r="A20" s="5" t="s">
        <v>20</v>
      </c>
      <c r="B20" s="2">
        <v>464</v>
      </c>
      <c r="C20" s="6">
        <v>1</v>
      </c>
      <c r="D20" s="6"/>
      <c r="E20" s="2"/>
      <c r="F20" s="5" t="s">
        <v>53</v>
      </c>
      <c r="G20" s="1">
        <v>16</v>
      </c>
    </row>
    <row r="21" spans="1:7" x14ac:dyDescent="0.3">
      <c r="F21" s="5" t="s">
        <v>54</v>
      </c>
      <c r="G21" s="1">
        <v>9</v>
      </c>
    </row>
    <row r="22" spans="1:7" x14ac:dyDescent="0.3">
      <c r="F22" s="5" t="s">
        <v>55</v>
      </c>
      <c r="G22" s="1">
        <v>17</v>
      </c>
    </row>
    <row r="23" spans="1:7" x14ac:dyDescent="0.3">
      <c r="F23" s="5" t="s">
        <v>56</v>
      </c>
      <c r="G23" s="1">
        <v>16</v>
      </c>
    </row>
    <row r="24" spans="1:7" ht="15.6" x14ac:dyDescent="0.3">
      <c r="A24" s="13" t="s">
        <v>37</v>
      </c>
      <c r="B24" s="13" t="s">
        <v>0</v>
      </c>
      <c r="C24" s="13" t="s">
        <v>38</v>
      </c>
      <c r="D24" s="14"/>
      <c r="F24" s="5" t="s">
        <v>57</v>
      </c>
      <c r="G24" s="1">
        <v>17</v>
      </c>
    </row>
    <row r="25" spans="1:7" x14ac:dyDescent="0.3">
      <c r="A25" s="9" t="str">
        <f>A19</f>
        <v>Not Admitted</v>
      </c>
      <c r="B25" s="10">
        <f>B19</f>
        <v>233</v>
      </c>
      <c r="C25" s="11">
        <f>C19</f>
        <v>0.50215517241379315</v>
      </c>
      <c r="D25" s="12"/>
      <c r="F25" s="5" t="s">
        <v>58</v>
      </c>
      <c r="G25" s="1">
        <v>21</v>
      </c>
    </row>
    <row r="26" spans="1:7" x14ac:dyDescent="0.3">
      <c r="A26" s="9" t="str">
        <f>A18</f>
        <v>Admitted</v>
      </c>
      <c r="B26" s="10">
        <f>B18</f>
        <v>231</v>
      </c>
      <c r="C26" s="11">
        <f>C18</f>
        <v>0.49784482758620691</v>
      </c>
      <c r="D26" s="12"/>
      <c r="F26" s="5" t="s">
        <v>59</v>
      </c>
      <c r="G26" s="1">
        <v>15</v>
      </c>
    </row>
    <row r="27" spans="1:7" x14ac:dyDescent="0.3">
      <c r="A27" s="7"/>
      <c r="B27" s="7"/>
      <c r="C27" s="7"/>
      <c r="D27" s="7"/>
      <c r="F27" s="5" t="s">
        <v>60</v>
      </c>
      <c r="G27" s="1">
        <v>22</v>
      </c>
    </row>
    <row r="28" spans="1:7" x14ac:dyDescent="0.3">
      <c r="F28" s="5" t="s">
        <v>61</v>
      </c>
      <c r="G28" s="1">
        <v>14</v>
      </c>
    </row>
    <row r="29" spans="1:7" x14ac:dyDescent="0.3">
      <c r="F29" s="5" t="s">
        <v>62</v>
      </c>
      <c r="G29" s="1">
        <v>13</v>
      </c>
    </row>
    <row r="30" spans="1:7" x14ac:dyDescent="0.3">
      <c r="F30" s="5" t="s">
        <v>63</v>
      </c>
      <c r="G30" s="1">
        <v>10</v>
      </c>
    </row>
    <row r="31" spans="1:7" x14ac:dyDescent="0.3">
      <c r="F31" s="5" t="s">
        <v>64</v>
      </c>
      <c r="G31" s="1">
        <v>17</v>
      </c>
    </row>
    <row r="32" spans="1:7" x14ac:dyDescent="0.3">
      <c r="F32" s="5" t="s">
        <v>65</v>
      </c>
      <c r="G32" s="1">
        <v>17</v>
      </c>
    </row>
    <row r="33" spans="1:13" x14ac:dyDescent="0.3">
      <c r="F33" s="5" t="s">
        <v>66</v>
      </c>
      <c r="G33" s="1">
        <v>13</v>
      </c>
    </row>
    <row r="34" spans="1:13" x14ac:dyDescent="0.3">
      <c r="A34" s="3" t="s">
        <v>21</v>
      </c>
      <c r="B34" t="s">
        <v>3</v>
      </c>
      <c r="C34" t="s">
        <v>40</v>
      </c>
      <c r="F34" s="5" t="s">
        <v>67</v>
      </c>
      <c r="G34" s="1">
        <v>11</v>
      </c>
      <c r="K34" s="3" t="s">
        <v>21</v>
      </c>
      <c r="L34" t="s">
        <v>3</v>
      </c>
      <c r="M34" t="s">
        <v>39</v>
      </c>
    </row>
    <row r="35" spans="1:13" x14ac:dyDescent="0.3">
      <c r="A35" s="5" t="s">
        <v>11</v>
      </c>
      <c r="B35" s="8">
        <v>267</v>
      </c>
      <c r="C35" s="6">
        <v>0.57543103448275867</v>
      </c>
      <c r="F35" s="5" t="s">
        <v>68</v>
      </c>
      <c r="G35" s="1">
        <v>19</v>
      </c>
      <c r="K35" s="5" t="s">
        <v>18</v>
      </c>
      <c r="L35" s="2">
        <v>227</v>
      </c>
      <c r="M35" s="6">
        <v>0.48922413793103448</v>
      </c>
    </row>
    <row r="36" spans="1:13" x14ac:dyDescent="0.3">
      <c r="A36" s="5" t="s">
        <v>9</v>
      </c>
      <c r="B36" s="8">
        <v>197</v>
      </c>
      <c r="C36" s="6">
        <v>0.42456896551724138</v>
      </c>
      <c r="F36" s="5" t="s">
        <v>69</v>
      </c>
      <c r="G36" s="1">
        <v>16</v>
      </c>
      <c r="K36" s="5" t="s">
        <v>4</v>
      </c>
      <c r="L36" s="2">
        <v>237</v>
      </c>
      <c r="M36" s="6">
        <v>0.51077586206896552</v>
      </c>
    </row>
    <row r="37" spans="1:13" x14ac:dyDescent="0.3">
      <c r="A37" s="5" t="s">
        <v>20</v>
      </c>
      <c r="B37" s="8">
        <v>464</v>
      </c>
      <c r="C37" s="6">
        <v>1</v>
      </c>
      <c r="F37" s="5" t="s">
        <v>70</v>
      </c>
      <c r="G37" s="1">
        <v>15</v>
      </c>
      <c r="K37" s="5" t="s">
        <v>20</v>
      </c>
      <c r="L37" s="8">
        <v>464</v>
      </c>
      <c r="M37" s="6">
        <v>1</v>
      </c>
    </row>
    <row r="38" spans="1:13" x14ac:dyDescent="0.3">
      <c r="F38" s="5" t="s">
        <v>71</v>
      </c>
      <c r="G38" s="1">
        <v>18</v>
      </c>
    </row>
    <row r="39" spans="1:13" x14ac:dyDescent="0.3">
      <c r="F39" s="5" t="s">
        <v>20</v>
      </c>
      <c r="G39" s="1">
        <v>464</v>
      </c>
    </row>
    <row r="49" spans="17:19" x14ac:dyDescent="0.3">
      <c r="Q49" s="3" t="s">
        <v>21</v>
      </c>
      <c r="R49" t="s">
        <v>3</v>
      </c>
      <c r="S49" t="s">
        <v>41</v>
      </c>
    </row>
    <row r="50" spans="17:19" x14ac:dyDescent="0.3">
      <c r="Q50" s="5" t="s">
        <v>11</v>
      </c>
      <c r="R50" s="8">
        <v>267</v>
      </c>
      <c r="S50" s="6">
        <v>0.57543103448275867</v>
      </c>
    </row>
    <row r="51" spans="17:19" x14ac:dyDescent="0.3">
      <c r="Q51" s="5" t="s">
        <v>9</v>
      </c>
      <c r="R51" s="8">
        <v>197</v>
      </c>
      <c r="S51" s="6">
        <v>0.42456896551724138</v>
      </c>
    </row>
    <row r="52" spans="17:19" x14ac:dyDescent="0.3">
      <c r="Q52" s="5" t="s">
        <v>20</v>
      </c>
      <c r="R52" s="8">
        <v>464</v>
      </c>
      <c r="S52" s="6">
        <v>1</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59E2-B809-4294-8F7C-3734D4F9E811}">
  <dimension ref="B4:C13"/>
  <sheetViews>
    <sheetView workbookViewId="0">
      <selection activeCell="H7" sqref="H7"/>
    </sheetView>
  </sheetViews>
  <sheetFormatPr defaultRowHeight="14.4" x14ac:dyDescent="0.3"/>
  <cols>
    <col min="2" max="2" width="15.5546875" customWidth="1"/>
    <col min="3" max="3" width="17.88671875" customWidth="1"/>
  </cols>
  <sheetData>
    <row r="4" spans="2:3" x14ac:dyDescent="0.3">
      <c r="B4" s="3" t="s">
        <v>21</v>
      </c>
      <c r="C4" t="s">
        <v>3</v>
      </c>
    </row>
    <row r="5" spans="2:3" x14ac:dyDescent="0.3">
      <c r="B5" s="5" t="s">
        <v>31</v>
      </c>
      <c r="C5" s="2">
        <v>13</v>
      </c>
    </row>
    <row r="6" spans="2:3" x14ac:dyDescent="0.3">
      <c r="B6" s="5" t="s">
        <v>33</v>
      </c>
      <c r="C6" s="2">
        <v>14</v>
      </c>
    </row>
    <row r="7" spans="2:3" x14ac:dyDescent="0.3">
      <c r="B7" s="5" t="s">
        <v>28</v>
      </c>
      <c r="C7" s="2">
        <v>91</v>
      </c>
    </row>
    <row r="8" spans="2:3" x14ac:dyDescent="0.3">
      <c r="B8" s="5" t="s">
        <v>32</v>
      </c>
      <c r="C8" s="2">
        <v>6</v>
      </c>
    </row>
    <row r="9" spans="2:3" x14ac:dyDescent="0.3">
      <c r="B9" s="5" t="s">
        <v>6</v>
      </c>
      <c r="C9" s="2">
        <v>252</v>
      </c>
    </row>
    <row r="10" spans="2:3" x14ac:dyDescent="0.3">
      <c r="B10" s="5" t="s">
        <v>29</v>
      </c>
      <c r="C10" s="2">
        <v>67</v>
      </c>
    </row>
    <row r="11" spans="2:3" x14ac:dyDescent="0.3">
      <c r="B11" s="5" t="s">
        <v>30</v>
      </c>
      <c r="C11" s="2">
        <v>19</v>
      </c>
    </row>
    <row r="12" spans="2:3" x14ac:dyDescent="0.3">
      <c r="B12" s="5" t="s">
        <v>34</v>
      </c>
      <c r="C12" s="2">
        <v>2</v>
      </c>
    </row>
    <row r="13" spans="2:3" x14ac:dyDescent="0.3">
      <c r="B13" s="5" t="s">
        <v>20</v>
      </c>
      <c r="C13" s="8">
        <v>464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D2851-DD80-4582-8AFB-A2D78521394D}">
  <dimension ref="A2:C10"/>
  <sheetViews>
    <sheetView topLeftCell="A5" workbookViewId="0">
      <selection activeCell="B32" sqref="B32"/>
    </sheetView>
  </sheetViews>
  <sheetFormatPr defaultRowHeight="14.4" x14ac:dyDescent="0.3"/>
  <cols>
    <col min="1" max="1" width="29.33203125" customWidth="1"/>
    <col min="2" max="2" width="20.44140625" customWidth="1"/>
    <col min="3" max="3" width="25.5546875" customWidth="1"/>
  </cols>
  <sheetData>
    <row r="2" spans="1:3" x14ac:dyDescent="0.3">
      <c r="A2" s="3" t="s">
        <v>21</v>
      </c>
      <c r="B2" t="s">
        <v>3</v>
      </c>
      <c r="C2" t="s">
        <v>39</v>
      </c>
    </row>
    <row r="3" spans="1:3" x14ac:dyDescent="0.3">
      <c r="A3" s="5" t="s">
        <v>22</v>
      </c>
      <c r="B3" s="2">
        <v>117</v>
      </c>
      <c r="C3" s="6">
        <v>0.25215517241379309</v>
      </c>
    </row>
    <row r="4" spans="1:3" x14ac:dyDescent="0.3">
      <c r="A4" s="5" t="s">
        <v>24</v>
      </c>
      <c r="B4" s="2">
        <v>58</v>
      </c>
      <c r="C4" s="6">
        <v>0.125</v>
      </c>
    </row>
    <row r="5" spans="1:3" x14ac:dyDescent="0.3">
      <c r="A5" s="5" t="s">
        <v>25</v>
      </c>
      <c r="B5" s="2">
        <v>50</v>
      </c>
      <c r="C5" s="6">
        <v>0.10775862068965517</v>
      </c>
    </row>
    <row r="6" spans="1:3" x14ac:dyDescent="0.3">
      <c r="A6" s="5" t="s">
        <v>27</v>
      </c>
      <c r="B6" s="2">
        <v>24</v>
      </c>
      <c r="C6" s="6">
        <v>5.1724137931034482E-2</v>
      </c>
    </row>
    <row r="7" spans="1:3" x14ac:dyDescent="0.3">
      <c r="A7" s="5" t="s">
        <v>26</v>
      </c>
      <c r="B7" s="2">
        <v>29</v>
      </c>
      <c r="C7" s="6">
        <v>6.25E-2</v>
      </c>
    </row>
    <row r="8" spans="1:3" x14ac:dyDescent="0.3">
      <c r="A8" s="5" t="s">
        <v>23</v>
      </c>
      <c r="B8" s="2">
        <v>58</v>
      </c>
      <c r="C8" s="6">
        <v>0.125</v>
      </c>
    </row>
    <row r="9" spans="1:3" x14ac:dyDescent="0.3">
      <c r="A9" s="5" t="s">
        <v>5</v>
      </c>
      <c r="B9" s="2">
        <v>128</v>
      </c>
      <c r="C9" s="6">
        <v>0.27586206896551724</v>
      </c>
    </row>
    <row r="10" spans="1:3" x14ac:dyDescent="0.3">
      <c r="A10" s="5" t="s">
        <v>20</v>
      </c>
      <c r="B10" s="8">
        <v>464</v>
      </c>
      <c r="C10"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9309-F76F-4AC9-BEB6-F4F999F9ED5D}">
  <dimension ref="J3:L6"/>
  <sheetViews>
    <sheetView workbookViewId="0">
      <selection activeCell="L6" sqref="J3:L6"/>
    </sheetView>
  </sheetViews>
  <sheetFormatPr defaultRowHeight="14.4" x14ac:dyDescent="0.3"/>
  <cols>
    <col min="10" max="10" width="22.21875" customWidth="1"/>
    <col min="11" max="11" width="17.21875" customWidth="1"/>
    <col min="12" max="12" width="20.21875" customWidth="1"/>
  </cols>
  <sheetData>
    <row r="3" spans="10:12" x14ac:dyDescent="0.3">
      <c r="J3" s="3" t="s">
        <v>21</v>
      </c>
      <c r="K3" t="s">
        <v>3</v>
      </c>
      <c r="L3" t="s">
        <v>41</v>
      </c>
    </row>
    <row r="4" spans="10:12" x14ac:dyDescent="0.3">
      <c r="J4" s="5" t="s">
        <v>11</v>
      </c>
      <c r="K4" s="8">
        <v>267</v>
      </c>
      <c r="L4" s="6">
        <v>0.57543103448275867</v>
      </c>
    </row>
    <row r="5" spans="10:12" x14ac:dyDescent="0.3">
      <c r="J5" s="5" t="s">
        <v>9</v>
      </c>
      <c r="K5" s="8">
        <v>197</v>
      </c>
      <c r="L5" s="6">
        <v>0.42456896551724138</v>
      </c>
    </row>
    <row r="6" spans="10:12" x14ac:dyDescent="0.3">
      <c r="J6" s="5" t="s">
        <v>20</v>
      </c>
      <c r="K6" s="8">
        <v>464</v>
      </c>
      <c r="L6"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1C446-7417-4422-852C-E93ACE31E7B8}">
  <dimension ref="K7:L16"/>
  <sheetViews>
    <sheetView workbookViewId="0">
      <selection activeCell="K7" sqref="K7"/>
    </sheetView>
  </sheetViews>
  <sheetFormatPr defaultRowHeight="14.4" x14ac:dyDescent="0.3"/>
  <cols>
    <col min="1" max="1" width="8.88671875" customWidth="1"/>
    <col min="11" max="11" width="19.109375" customWidth="1"/>
    <col min="12" max="12" width="17.21875" customWidth="1"/>
  </cols>
  <sheetData>
    <row r="7" spans="11:12" x14ac:dyDescent="0.3">
      <c r="K7" s="3" t="s">
        <v>21</v>
      </c>
      <c r="L7" t="s">
        <v>3</v>
      </c>
    </row>
    <row r="8" spans="11:12" x14ac:dyDescent="0.3">
      <c r="K8" s="5" t="s">
        <v>15</v>
      </c>
      <c r="L8" s="8">
        <v>63</v>
      </c>
    </row>
    <row r="9" spans="11:12" x14ac:dyDescent="0.3">
      <c r="K9" s="5" t="s">
        <v>10</v>
      </c>
      <c r="L9" s="8">
        <v>65</v>
      </c>
    </row>
    <row r="10" spans="11:12" x14ac:dyDescent="0.3">
      <c r="K10" s="5" t="s">
        <v>16</v>
      </c>
      <c r="L10" s="8">
        <v>49</v>
      </c>
    </row>
    <row r="11" spans="11:12" x14ac:dyDescent="0.3">
      <c r="K11" s="5" t="s">
        <v>17</v>
      </c>
      <c r="L11" s="8">
        <v>61</v>
      </c>
    </row>
    <row r="12" spans="11:12" x14ac:dyDescent="0.3">
      <c r="K12" s="5" t="s">
        <v>13</v>
      </c>
      <c r="L12" s="8">
        <v>56</v>
      </c>
    </row>
    <row r="13" spans="11:12" x14ac:dyDescent="0.3">
      <c r="K13" s="5" t="s">
        <v>14</v>
      </c>
      <c r="L13" s="8">
        <v>61</v>
      </c>
    </row>
    <row r="14" spans="11:12" x14ac:dyDescent="0.3">
      <c r="K14" s="5" t="s">
        <v>8</v>
      </c>
      <c r="L14" s="8">
        <v>62</v>
      </c>
    </row>
    <row r="15" spans="11:12" x14ac:dyDescent="0.3">
      <c r="K15" s="5" t="s">
        <v>12</v>
      </c>
      <c r="L15" s="8">
        <v>47</v>
      </c>
    </row>
    <row r="16" spans="11:12" x14ac:dyDescent="0.3">
      <c r="K16" s="5" t="s">
        <v>20</v>
      </c>
      <c r="L16" s="8">
        <v>464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134486F-6480-4D30-9B00-AB866CD580B8}">
  <ds:schemaRefs/>
</ds:datastoreItem>
</file>

<file path=customXml/itemProps2.xml><?xml version="1.0" encoding="utf-8"?>
<ds:datastoreItem xmlns:ds="http://schemas.openxmlformats.org/officeDocument/2006/customXml" ds:itemID="{3C75D644-833C-4050-B0EC-89297A3BFA9E}">
  <ds:schemaRefs/>
</ds:datastoreItem>
</file>

<file path=customXml/itemProps3.xml><?xml version="1.0" encoding="utf-8"?>
<ds:datastoreItem xmlns:ds="http://schemas.openxmlformats.org/officeDocument/2006/customXml" ds:itemID="{0548260A-9684-420C-953C-8FABA4FA00BA}">
  <ds:schemaRefs/>
</ds:datastoreItem>
</file>

<file path=customXml/itemProps4.xml><?xml version="1.0" encoding="utf-8"?>
<ds:datastoreItem xmlns:ds="http://schemas.openxmlformats.org/officeDocument/2006/customXml" ds:itemID="{712B68D4-E278-4438-B1F6-F22E37815D8D}">
  <ds:schemaRefs/>
</ds:datastoreItem>
</file>

<file path=customXml/itemProps5.xml><?xml version="1.0" encoding="utf-8"?>
<ds:datastoreItem xmlns:ds="http://schemas.openxmlformats.org/officeDocument/2006/customXml" ds:itemID="{C8120ED8-ADA5-431A-8CA7-1AC42BED97D0}">
  <ds:schemaRefs/>
</ds:datastoreItem>
</file>

<file path=customXml/itemProps6.xml><?xml version="1.0" encoding="utf-8"?>
<ds:datastoreItem xmlns:ds="http://schemas.openxmlformats.org/officeDocument/2006/customXml" ds:itemID="{ADF080C5-F6C5-4176-BAC8-817B0BBF46B5}">
  <ds:schemaRefs/>
</ds:datastoreItem>
</file>

<file path=customXml/itemProps7.xml><?xml version="1.0" encoding="utf-8"?>
<ds:datastoreItem xmlns:ds="http://schemas.openxmlformats.org/officeDocument/2006/customXml" ds:itemID="{958594E9-4650-402E-A90A-1332B78C41E8}">
  <ds:schemaRefs/>
</ds:datastoreItem>
</file>

<file path=customXml/itemProps8.xml><?xml version="1.0" encoding="utf-8"?>
<ds:datastoreItem xmlns:ds="http://schemas.openxmlformats.org/officeDocument/2006/customXml" ds:itemID="{61FB6902-0682-4CC2-AFF2-CBD044257775}">
  <ds:schemaRefs/>
</ds:datastoreItem>
</file>

<file path=customXml/itemProps9.xml><?xml version="1.0" encoding="utf-8"?>
<ds:datastoreItem xmlns:ds="http://schemas.openxmlformats.org/officeDocument/2006/customXml" ds:itemID="{C533BB64-81C3-4DA2-B2FD-A65CDBF41C2A}">
  <ds:schemaRefs/>
</ds:datastoreItem>
</file>

<file path=customXml/itemProps10.xml><?xml version="1.0" encoding="utf-8"?>
<ds:datastoreItem xmlns:ds="http://schemas.openxmlformats.org/officeDocument/2006/customXml" ds:itemID="{FC2FE208-2910-4B46-B4BB-A08C533954BA}">
  <ds:schemaRefs/>
</ds:datastoreItem>
</file>

<file path=customXml/itemProps11.xml><?xml version="1.0" encoding="utf-8"?>
<ds:datastoreItem xmlns:ds="http://schemas.openxmlformats.org/officeDocument/2006/customXml" ds:itemID="{F2DF4632-57D9-42C2-8C49-E69574E4245F}">
  <ds:schemaRefs/>
</ds:datastoreItem>
</file>

<file path=customXml/itemProps12.xml><?xml version="1.0" encoding="utf-8"?>
<ds:datastoreItem xmlns:ds="http://schemas.openxmlformats.org/officeDocument/2006/customXml" ds:itemID="{F8F819F2-1D34-4BBE-BAE9-F5F8BBBAEE81}">
  <ds:schemaRefs/>
</ds:datastoreItem>
</file>

<file path=customXml/itemProps13.xml><?xml version="1.0" encoding="utf-8"?>
<ds:datastoreItem xmlns:ds="http://schemas.openxmlformats.org/officeDocument/2006/customXml" ds:itemID="{AE92547A-D466-45F5-ABF7-52EC88A51366}">
  <ds:schemaRefs/>
</ds:datastoreItem>
</file>

<file path=customXml/itemProps14.xml><?xml version="1.0" encoding="utf-8"?>
<ds:datastoreItem xmlns:ds="http://schemas.openxmlformats.org/officeDocument/2006/customXml" ds:itemID="{7783529F-9940-4A6C-B86E-9D2E1687E964}">
  <ds:schemaRefs>
    <ds:schemaRef ds:uri="http://schemas.microsoft.com/DataMashup"/>
  </ds:schemaRefs>
</ds:datastoreItem>
</file>

<file path=customXml/itemProps15.xml><?xml version="1.0" encoding="utf-8"?>
<ds:datastoreItem xmlns:ds="http://schemas.openxmlformats.org/officeDocument/2006/customXml" ds:itemID="{42B95F49-48BE-4F66-B363-52FEBD835BFB}">
  <ds:schemaRefs/>
</ds:datastoreItem>
</file>

<file path=customXml/itemProps16.xml><?xml version="1.0" encoding="utf-8"?>
<ds:datastoreItem xmlns:ds="http://schemas.openxmlformats.org/officeDocument/2006/customXml" ds:itemID="{27050C15-11A5-4026-B37F-001A5BF22345}">
  <ds:schemaRefs/>
</ds:datastoreItem>
</file>

<file path=customXml/itemProps17.xml><?xml version="1.0" encoding="utf-8"?>
<ds:datastoreItem xmlns:ds="http://schemas.openxmlformats.org/officeDocument/2006/customXml" ds:itemID="{8D3965C7-1013-4EBA-8665-E3EC9A35CCD9}">
  <ds:schemaRefs/>
</ds:datastoreItem>
</file>

<file path=customXml/itemProps18.xml><?xml version="1.0" encoding="utf-8"?>
<ds:datastoreItem xmlns:ds="http://schemas.openxmlformats.org/officeDocument/2006/customXml" ds:itemID="{BC016988-0C6B-4640-AEB4-637FC0375D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vt:lpstr>
      <vt:lpstr>patient by dept</vt:lpstr>
      <vt:lpstr>patient vs race</vt:lpstr>
      <vt:lpstr>Patient Attendence status</vt:lpstr>
      <vt:lpstr>Age grp vs  No. of patient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master</dc:creator>
  <cp:lastModifiedBy>muskan master</cp:lastModifiedBy>
  <dcterms:created xsi:type="dcterms:W3CDTF">2026-08-06T16:20:12Z</dcterms:created>
  <dcterms:modified xsi:type="dcterms:W3CDTF">2026-08-19T07:48:44Z</dcterms:modified>
</cp:coreProperties>
</file>